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Foundation" sheetId="1" state="visible" r:id="rId1"/>
  </s:sheets>
  <s:definedNames/>
  <s:calcPr calcId="191029" fullCalcOnLoad="1"/>
</s: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666666"/>
      <sz val="9"/>
    </font>
    <font>
      <name val="Arial"/>
      <b val="1"/>
      <color rgb="009C000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1" pivotButton="0" quotePrefix="0" xfId="0"/>
    <xf numFmtId="4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9" fontId="6" fillId="4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5" borderId="1" pivotButton="0" quotePrefix="0" xfId="0"/>
    <xf numFmtId="4" fontId="7" fillId="5" borderId="1" applyAlignment="1" pivotButton="0" quotePrefix="0" xfId="0">
      <alignment horizontal="right" vertical="center" wrapText="1"/>
    </xf>
    <xf numFmtId="3" fontId="7" fillId="5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62"/>
  <s:sheetViews>
    <s:sheetView showGridLines="0" workbookViewId="0">
      <s:selection activeCell="A1" sqref="A1"/>
    </s:sheetView>
  </s:sheetViews>
  <s:sheetFormatPr baseColWidth="8" defaultRowHeight="15"/>
  <s:cols>
    <s:col width="48" customWidth="1" min="1" max="1"/>
    <s:col width="14" customWidth="1" min="2" max="2"/>
    <s:col width="8" customWidth="1" min="3" max="3"/>
    <s:col width="54" customWidth="1" min="4" max="4"/>
  </s:cols>
  <s:sheetData>
    <s:row r="1">
      <s:c r="A1" s="1" t="inlineStr">
        <s:is>
          <s:t>საძირკვლის კალკულატორი — ლენტური / STRIP FOUNDATION CALCULATOR</s:t>
        </s:is>
      </s:c>
    </s:row>
    <s:row r="2">
      <s:c r="A2" s="2" t="inlineStr">
        <s:is>
          <s:t>ეს რაოდენობის კალკულატორია, არა პროექტი. კვეთა და არმატურა ინჟინრისგან/ჯიესენისგან უნდა მოვიდეს. / This counts materials. It does not design anything — the section and the rebar must come from the people engineering the foundation.</s:t>
        </s:is>
      </s:c>
    </s:row>
    <s:row r="3" ht="34" customHeight="1">
      <s:c r="A3" s="3" t="inlineStr">
        <s:is>
          <s:t>⚠ სანამ შეუკვეთავთ: აიღეთ კვეთა და არმატურა ჯიესენ გრუპის ნახაზებიდან. ქვემოთ ჩაწერილი ციფრები მსუბუქი პერიმეტრის კედლის ტიპიური მნიშვნელობებია, თქვენი ობიექტის პროექტი არ არის. / ⚠ Before ordering: take the section and the reinforcement from GSN Group's drawings. The numbers below are typical for a light perimeter wall — they are not a design for your site.</s:t>
        </s:is>
      </s:c>
    </s:row>
    <s:row r="5" ht="20" customHeight="1">
      <s:c r="A5" s="4" t="inlineStr">
        <s:is>
          <s:t>1. გეომეტრია / GEOMETRY</s:t>
        </s:is>
      </s:c>
    </s:row>
    <s:row r="6">
      <s:c r="A6" s="5" t="inlineStr">
        <s:is>
          <s:t>სიგრძე — პერიმეტრი / Length (perimeter)</s:t>
        </s:is>
      </s:c>
      <s:c r="B6" s="6" t="n">
        <s:v>180</s:v>
      </s:c>
      <s:c r="D6" s="2" t="inlineStr">
        <s:is>
          <s:t>მეტრი / metres</s:t>
        </s:is>
      </s:c>
    </s:row>
    <s:row r="7">
      <s:c r="A7" s="5" t="inlineStr">
        <s:is>
          <s:t>საძირკვლის სიგანე / Footing width</s:t>
        </s:is>
      </s:c>
      <s:c r="B7" s="7" t="n">
        <s:v>0.4</s:v>
      </s:c>
      <s:c r="D7" s="2" t="inlineStr">
        <s:is>
          <s:t>მეტრი / metres — from the drawings</s:t>
        </s:is>
      </s:c>
    </s:row>
    <s:row r="8">
      <s:c r="A8" s="5" t="inlineStr">
        <s:is>
          <s:t>საძირკვლის სიმაღლე — ბეტონი / Footing depth (concrete)</s:t>
        </s:is>
      </s:c>
      <s:c r="B8" s="7" t="n">
        <s:v>0.5</s:v>
      </s:c>
      <s:c r="D8" s="2" t="inlineStr">
        <s:is>
          <s:t>მეტრი / metres — from the drawings</s:t>
        </s:is>
      </s:c>
    </s:row>
    <s:row r="9">
      <s:c r="A9" s="5" t="inlineStr">
        <s:is>
          <s:t>ხრეშის ბალიში / Compacted gravel bed</s:t>
        </s:is>
      </s:c>
      <s:c r="B9" s="7" t="n">
        <s:v>0.1</s:v>
      </s:c>
      <s:c r="D9" s="2" t="inlineStr">
        <s:is>
          <s:t>მეტრი / metres under the footing. 0 if none</s:t>
        </s:is>
      </s:c>
    </s:row>
    <s:row r="10">
      <s:c r="A10" s="5" t="inlineStr">
        <s:is>
          <s:t>მოსასწორებელი ბეტონი / Blinding (lean concrete)</s:t>
        </s:is>
      </s:c>
      <s:c r="B10" s="7" t="n">
        <s:v>0.05</s:v>
      </s:c>
      <s:c r="D10" s="2" t="inlineStr">
        <s:is>
          <s:t>მეტრი / metres. 0 if none</s:t>
        </s:is>
      </s:c>
    </s:row>
    <s:row r="11">
      <s:c r="A11" s="5" t="inlineStr">
        <s:is>
          <s:t>თხრილის დამატებითი სიგანე / Extra trench width for working space</s:t>
        </s:is>
      </s:c>
      <s:c r="B11" s="7" t="n">
        <s:v>0.2</s:v>
      </s:c>
      <s:c r="D11" s="2" t="inlineStr">
        <s:is>
          <s:t>მეტრი, ორივე მხარეს ჯამში / metres total, both sides</s:t>
        </s:is>
      </s:c>
    </s:row>
    <s:row r="13" ht="20" customHeight="1">
      <s:c r="A13" s="4" t="inlineStr">
        <s:is>
          <s:t>2. ბეტონის შემადგენლობა / CONCRETE MIX (per m³)</s:t>
        </s:is>
      </s:c>
    </s:row>
    <s:row r="14">
      <s:c r="A14" s="5" t="inlineStr">
        <s:is>
          <s:t>ცემენტი 1 მ³-ზე — კონსტრუქციული / Cement per m³ — structural</s:t>
        </s:is>
      </s:c>
      <s:c r="B14" s="8" t="n">
        <s:v>320</s:v>
      </s:c>
      <s:c r="D14" s="2" t="inlineStr">
        <s:is>
          <s:t>კგ. C20/25 (M250) ≈ 320 / kg</s:t>
        </s:is>
      </s:c>
    </s:row>
    <s:row r="15">
      <s:c r="A15" s="5" t="inlineStr">
        <s:is>
          <s:t>ქვიშა 1 მ³-ზე / Sand per m³</s:t>
        </s:is>
      </s:c>
      <s:c r="B15" s="6" t="n">
        <s:v>0.45</s:v>
      </s:c>
      <s:c r="D15" s="2" t="inlineStr">
        <s:is>
          <s:t>მ³ / m³</s:t>
        </s:is>
      </s:c>
    </s:row>
    <s:row r="16">
      <s:c r="A16" s="5" t="inlineStr">
        <s:is>
          <s:t>ღორღი 1 მ³-ზე / Crushed stone per m³</s:t>
        </s:is>
      </s:c>
      <s:c r="B16" s="6" t="n">
        <s:v>0.85</s:v>
      </s:c>
      <s:c r="D16" s="2" t="inlineStr">
        <s:is>
          <s:t>მ³ / m³</s:t>
        </s:is>
      </s:c>
    </s:row>
    <s:row r="17">
      <s:c r="A17" s="5" t="inlineStr">
        <s:is>
          <s:t>წყალი 1 მ³-ზე / Water per m³</s:t>
        </s:is>
      </s:c>
      <s:c r="B17" s="8" t="n">
        <s:v>180</s:v>
      </s:c>
      <s:c r="D17" s="2" t="inlineStr">
        <s:is>
          <s:t>ლიტრი / litres</s:t>
        </s:is>
      </s:c>
    </s:row>
    <s:row r="18">
      <s:c r="A18" s="5" t="inlineStr">
        <s:is>
          <s:t>ცემენტი 1 მ³-ზე — მოსასწორებელი / Cement per m³ — blinding</s:t>
        </s:is>
      </s:c>
      <s:c r="B18" s="8" t="n">
        <s:v>200</s:v>
      </s:c>
      <s:c r="D18" s="2" t="inlineStr">
        <s:is>
          <s:t>კგ, მჭლე ნარევი / kg, lean mix</s:t>
        </s:is>
      </s:c>
    </s:row>
    <s:row r="19">
      <s:c r="A19" s="5" t="inlineStr">
        <s:is>
          <s:t>ბეტონის მარაგი / Concrete waste allowance</s:t>
        </s:is>
      </s:c>
      <s:c r="B19" s="9" t="n">
        <s:v>0.05</s:v>
      </s:c>
      <s:c r="D19" s="2" t="inlineStr"/>
    </s:row>
    <s:row r="20">
      <s:c r="A20" s="5" t="inlineStr">
        <s:is>
          <s:t>ცემენტის ტომარა / Cement bag weight</s:t>
        </s:is>
      </s:c>
      <s:c r="B20" s="8" t="n">
        <s:v>50</s:v>
      </s:c>
      <s:c r="D20" s="2" t="inlineStr">
        <s:is>
          <s:t>კგ / kg</s:t>
        </s:is>
      </s:c>
    </s:row>
    <s:row r="22" ht="20" customHeight="1">
      <s:c r="A22" s="4" t="inlineStr">
        <s:is>
          <s:t>3. არმატურა / REINFORCEMENT</s:t>
        </s:is>
      </s:c>
    </s:row>
    <s:row r="23">
      <s:c r="A23" s="5" t="inlineStr">
        <s:is>
          <s:t>გრძივი ღერო — რაოდენობა / Longitudinal bars — how many</s:t>
        </s:is>
      </s:c>
      <s:c r="B23" s="8" t="n">
        <s:v>4</s:v>
      </s:c>
      <s:c r="D23" s="2" t="inlineStr">
        <s:is>
          <s:t>ნახაზიდან / from the drawings</s:t>
        </s:is>
      </s:c>
    </s:row>
    <s:row r="24">
      <s:c r="A24" s="5" t="inlineStr">
        <s:is>
          <s:t>გრძივი ღერო — დიამეტრი / Longitudinal bar diameter</s:t>
        </s:is>
      </s:c>
      <s:c r="B24" s="8" t="n">
        <s:v>12</s:v>
      </s:c>
      <s:c r="D24" s="2" t="inlineStr">
        <s:is>
          <s:t>მმ / mm</s:t>
        </s:is>
      </s:c>
    </s:row>
    <s:row r="25">
      <s:c r="A25" s="5" t="inlineStr">
        <s:is>
          <s:t>ხომუთი — დიამეტრი / Stirrup diameter</s:t>
        </s:is>
      </s:c>
      <s:c r="B25" s="8" t="n">
        <s:v>8</s:v>
      </s:c>
      <s:c r="D25" s="2" t="inlineStr">
        <s:is>
          <s:t>მმ / mm</s:t>
        </s:is>
      </s:c>
    </s:row>
    <s:row r="26">
      <s:c r="A26" s="5" t="inlineStr">
        <s:is>
          <s:t>ხომუთის ბიჯი / Stirrup spacing</s:t>
        </s:is>
      </s:c>
      <s:c r="B26" s="7" t="n">
        <s:v>0.3</s:v>
      </s:c>
      <s:c r="D26" s="2" t="inlineStr">
        <s:is>
          <s:t>მეტრი / metres</s:t>
        </s:is>
      </s:c>
    </s:row>
    <s:row r="27">
      <s:c r="A27" s="5" t="inlineStr">
        <s:is>
          <s:t>დამცავი ფენა / Concrete cover</s:t>
        </s:is>
      </s:c>
      <s:c r="B27" s="7" t="n">
        <s:v>0.04</s:v>
      </s:c>
      <s:c r="D27" s="2" t="inlineStr">
        <s:is>
          <s:t>მეტრი, ყოველ მხარეს / metres each face</s:t>
        </s:is>
      </s:c>
    </s:row>
    <s:row r="28">
      <s:c r="A28" s="5" t="inlineStr">
        <s:is>
          <s:t>გადაბმა და კუთხეები / Laps and corners allowance</s:t>
        </s:is>
      </s:c>
      <s:c r="B28" s="9" t="n">
        <s:v>0.1</s:v>
      </s:c>
      <s:c r="D28" s="2" t="inlineStr">
        <s:is>
          <s:t>გრძივ ღეროებზე / on the longitudinal steel</s:t>
        </s:is>
      </s:c>
    </s:row>
    <s:row r="29">
      <s:c r="A29" s="5" t="inlineStr">
        <s:is>
          <s:t>არმატურის მარაგი / Steel waste allowance</s:t>
        </s:is>
      </s:c>
      <s:c r="B29" s="9" t="n">
        <s:v>0.05</s:v>
      </s:c>
      <s:c r="D29" s="2" t="inlineStr"/>
    </s:row>
    <s:row r="30">
      <s:c r="A30" s="5" t="inlineStr">
        <s:is>
          <s:t>შესაკრავი მავთული / Binding wire</s:t>
        </s:is>
      </s:c>
      <s:c r="B30" s="8" t="n">
        <s:v>10</s:v>
      </s:c>
      <s:c r="D30" s="2" t="inlineStr">
        <s:is>
          <s:t>კგ 1 ტონა არმატურაზე / kg per tonne</s:t>
        </s:is>
      </s:c>
    </s:row>
    <s:row r="32" ht="20" customHeight="1">
      <s:c r="A32" s="4" t="inlineStr">
        <s:is>
          <s:t>4. ყალიბი / FORMWORK</s:t>
        </s:is>
      </s:c>
    </s:row>
    <s:row r="33">
      <s:c r="A33" s="5" t="inlineStr">
        <s:is>
          <s:t>ყალიბის სიმაღლე / Formwork height</s:t>
        </s:is>
      </s:c>
      <s:c r="B33" s="7" t="n">
        <s:v>0</s:v>
      </s:c>
      <s:c r="D33" s="2" t="inlineStr">
        <s:is>
          <s:t>მეტრი. 0 = თხრილში ჩაისხმება, ყალიბი არ სჭირდება / metres. 0 means poured against the trench — no formwork</s:t>
        </s:is>
      </s:c>
    </s:row>
    <s:row r="35" ht="20" customHeight="1">
      <s:c r="A35" s="4" t="inlineStr">
        <s:is>
          <s:t>5. გაანგარიშება / THE WORKING</s:t>
        </s:is>
      </s:c>
    </s:row>
    <s:row r="36">
      <s:c r="A36" s="5" t="inlineStr">
        <s:is>
          <s:t>თხრილის კვეთა / Trench cross-section</s:t>
        </s:is>
      </s:c>
      <s:c r="B36" s="10">
        <s:f>(B7+B11)*(B8+B9+B10)</s:f>
        <s:v>0.39000000000000007</s:v>
      </s:c>
      <s:c r="D36" s="2" t="inlineStr">
        <s:is>
          <s:t>მ² / m²</s:t>
        </s:is>
      </s:c>
    </s:row>
    <s:row r="37">
      <s:c r="A37" s="5" t="inlineStr">
        <s:is>
          <s:t>გრუნტის მოცულობა / Excavation</s:t>
        </s:is>
      </s:c>
      <s:c r="B37" s="11">
        <s:f>B6*B36</s:f>
        <s:v>70.20000000000002</s:v>
      </s:c>
      <s:c r="D37" s="2" t="inlineStr">
        <s:is>
          <s:t>მ³ / m³</s:t>
        </s:is>
      </s:c>
    </s:row>
    <s:row r="38">
      <s:c r="A38" s="5" t="inlineStr">
        <s:is>
          <s:t>1 მ-ზე ბეტონი / Concrete per metre of footing</s:t>
        </s:is>
      </s:c>
      <s:c r="B38" s="10">
        <s:f>B7*B8</s:f>
        <s:v>0.2</s:v>
      </s:c>
      <s:c r="D38" s="2" t="inlineStr">
        <s:is>
          <s:t>მ³ / m³</s:t>
        </s:is>
      </s:c>
    </s:row>
    <s:row r="39">
      <s:c r="A39" s="5" t="inlineStr">
        <s:is>
          <s:t>ხომუთის რაოდენობა / Stirrup count</s:t>
        </s:is>
      </s:c>
      <s:c r="B39" s="12">
        <s:f>ROUNDUP(B6/B26,0)+1</s:f>
        <s:v>601.0</s:v>
      </s:c>
      <s:c r="D39" s="2" t="inlineStr">
        <s:is>
          <s:t>ცალი / pieces</s:t>
        </s:is>
      </s:c>
    </s:row>
    <s:row r="40">
      <s:c r="A40" s="5" t="inlineStr">
        <s:is>
          <s:t>ერთი ხომუთის სიგრძე / Length of one stirrup</s:t>
        </s:is>
      </s:c>
      <s:c r="B40" s="10">
        <s:f>2*(B7-2*B27)+2*(B8-2*B27)+0.10</s:f>
        <s:v>1.58</s:v>
      </s:c>
      <s:c r="D40" s="2" t="inlineStr">
        <s:is>
          <s:t>მეტრი, კაუჭებით / metres, hooks included</s:t>
        </s:is>
      </s:c>
    </s:row>
    <s:row r="41">
      <s:c r="A41" s="5" t="inlineStr">
        <s:is>
          <s:t>არმატურის წონა 1 მ-ზე — გრძივი / kg per m — longitudinal</s:t>
        </s:is>
      </s:c>
      <s:c r="B41" s="10">
        <s:f>B24^2/162</s:f>
        <s:v>0.8888888888888888</s:v>
      </s:c>
      <s:c r="D41" s="2" t="inlineStr">
        <s:is>
          <s:t>d²/162 — the standard formula</s:t>
        </s:is>
      </s:c>
    </s:row>
    <s:row r="42">
      <s:c r="A42" s="5" t="inlineStr">
        <s:is>
          <s:t>არმატურის წონა 1 მ-ზე — ხომუთი / kg per m — stirrup</s:t>
        </s:is>
      </s:c>
      <s:c r="B42" s="10">
        <s:f>B25^2/162</s:f>
        <s:v>0.3950617283950617</s:v>
      </s:c>
      <s:c r="D42" s="2" t="inlineStr"/>
    </s:row>
    <s:row r="44" ht="20" customHeight="1">
      <s:c r="A44" s="4" t="inlineStr">
        <s:is>
          <s:t>6. საყიდელი / WHAT TO ORDER</s:t>
        </s:is>
      </s:c>
    </s:row>
    <s:row r="45">
      <s:c r="A45" s="5" t="inlineStr">
        <s:is>
          <s:t>ხრეში — ბალიში / Gravel for the bed</s:t>
        </s:is>
      </s:c>
      <s:c r="B45" s="11">
        <s:f>ROUNDUP(B6*B7*B9*10,0)/10</s:f>
        <s:v>7.2</s:v>
      </s:c>
      <s:c r="D45" s="2" t="inlineStr">
        <s:is>
          <s:t>მ³ / m³</s:t>
        </s:is>
      </s:c>
    </s:row>
    <s:row r="46">
      <s:c r="A46" s="5" t="inlineStr">
        <s:is>
          <s:t>მოსასწორებელი ბეტონი / Blinding concrete</s:t>
        </s:is>
      </s:c>
      <s:c r="B46" s="11">
        <s:f>ROUNDUP(B6*B7*B10*10,0)/10</s:f>
        <s:v>3.6</s:v>
      </s:c>
      <s:c r="D46" s="2" t="inlineStr">
        <s:is>
          <s:t>მ³ / m³</s:t>
        </s:is>
      </s:c>
    </s:row>
    <s:row r="47">
      <s:c r="A47" s="13" t="inlineStr">
        <s:is>
          <s:t>კონსტრუქციული ბეტონი / STRUCTURAL CONCRETE</s:t>
        </s:is>
      </s:c>
      <s:c r="B47" s="14">
        <s:f>ROUNDUP(B6*B38*(1+B19)*10,0)/10</s:f>
        <s:v>37.9</s:v>
      </s:c>
      <s:c r="D47" s="2" t="inlineStr">
        <s:is>
          <s:t>მ³ / m³, მარაგით / waste included</s:t>
        </s:is>
      </s:c>
    </s:row>
    <s:row r="48">
      <s:c r="A48" s="13" t="inlineStr">
        <s:is>
          <s:t>ცემენტი — ჯამში / CEMENT, total</s:t>
        </s:is>
      </s:c>
      <s:c r="B48" s="15">
        <s:f>ROUNDUP((B47*B14+B46*B18)/B20,0)</s:f>
        <s:v>257.0</s:v>
      </s:c>
      <s:c r="D48" s="2" t="inlineStr">
        <s:is>
          <s:t>ტომარა 50 კგ / bags</s:t>
        </s:is>
      </s:c>
    </s:row>
    <s:row r="49">
      <s:c r="A49" s="13" t="inlineStr">
        <s:is>
          <s:t>ქვიშა / SAND</s:t>
        </s:is>
      </s:c>
      <s:c r="B49" s="14">
        <s:f>ROUNDUP(B47*B15*10,0)/10</s:f>
        <s:v>17.1</s:v>
      </s:c>
      <s:c r="D49" s="2" t="inlineStr">
        <s:is>
          <s:t>მ³ / m³</s:t>
        </s:is>
      </s:c>
    </s:row>
    <s:row r="50">
      <s:c r="A50" s="13" t="inlineStr">
        <s:is>
          <s:t>ღორღი / CRUSHED STONE</s:t>
        </s:is>
      </s:c>
      <s:c r="B50" s="14">
        <s:f>ROUNDUP(B47*B16*10,0)/10</s:f>
        <s:v>32.3</s:v>
      </s:c>
      <s:c r="D50" s="2" t="inlineStr">
        <s:is>
          <s:t>მ³ / m³</s:t>
        </s:is>
      </s:c>
    </s:row>
    <s:row r="51">
      <s:c r="A51" s="5" t="inlineStr">
        <s:is>
          <s:t>წყალი / Water</s:t>
        </s:is>
      </s:c>
      <s:c r="B51" s="12">
        <s:f>ROUNDUP(B47*B17,0)</s:f>
        <s:v>6822.0</s:v>
      </s:c>
      <s:c r="D51" s="2" t="inlineStr">
        <s:is>
          <s:t>ლიტრი / litres</s:t>
        </s:is>
      </s:c>
    </s:row>
    <s:row r="52">
      <s:c r="A52" s="13" t="inlineStr">
        <s:is>
          <s:t>არმატურა — გრძივი / Steel — longitudinal</s:t>
        </s:is>
      </s:c>
      <s:c r="B52" s="15">
        <s:f>ROUNDUP(B6*B23*(1+B28)*B41*(1+B29),0)</s:f>
        <s:v>740.0</s:v>
      </s:c>
      <s:c r="D52" s="2" t="inlineStr">
        <s:is>
          <s:t>კგ / kg</s:t>
        </s:is>
      </s:c>
    </s:row>
    <s:row r="53">
      <s:c r="A53" s="13" t="inlineStr">
        <s:is>
          <s:t>არმატურა — ხომუთი / Steel — stirrups</s:t>
        </s:is>
      </s:c>
      <s:c r="B53" s="15">
        <s:f>ROUNDUP(B39*B40*B42*(1+B29),0)</s:f>
        <s:v>394.0</s:v>
      </s:c>
      <s:c r="D53" s="2" t="inlineStr">
        <s:is>
          <s:t>კგ / kg</s:t>
        </s:is>
      </s:c>
    </s:row>
    <s:row r="54">
      <s:c r="A54" s="13" t="inlineStr">
        <s:is>
          <s:t>არმატურა — სულ / STEEL, total</s:t>
        </s:is>
      </s:c>
      <s:c r="B54" s="15">
        <s:f>B52+B53</s:f>
        <s:v>1134.0</s:v>
      </s:c>
      <s:c r="D54" s="2" t="inlineStr">
        <s:is>
          <s:t>კგ / kg</s:t>
        </s:is>
      </s:c>
    </s:row>
    <s:row r="55">
      <s:c r="A55" s="5" t="inlineStr">
        <s:is>
          <s:t>შესაკრავი მავთული / Binding wire</s:t>
        </s:is>
      </s:c>
      <s:c r="B55" s="12">
        <s:f>ROUNDUP(B54/1000*B30,0)</s:f>
        <s:v>12.0</s:v>
      </s:c>
      <s:c r="D55" s="2" t="inlineStr">
        <s:is>
          <s:t>კგ / kg</s:t>
        </s:is>
      </s:c>
    </s:row>
    <s:row r="56">
      <s:c r="A56" s="5" t="inlineStr">
        <s:is>
          <s:t>ყალიბი / Formwork</s:t>
        </s:is>
      </s:c>
      <s:c r="B56" s="11">
        <s:f>ROUNDUP(B6*2*B33*10,0)/10</s:f>
        <s:v>0.0</s:v>
      </s:c>
      <s:c r="D56" s="2" t="inlineStr">
        <s:is>
          <s:t>მ² / m²</s:t>
        </s:is>
      </s:c>
    </s:row>
    <s:row r="58" ht="20" customHeight="1">
      <s:c r="A58" s="4" t="inlineStr">
        <s:is>
          <s:t>7. წასაკითხი / READ THIS BEFORE ORDERING</s:t>
        </s:is>
      </s:c>
    </s:row>
    <s:row r="59" ht="30" customHeight="1">
      <s:c r="A59" s="16" t="inlineStr">
        <s:is>
          <s:t>· კვეთა და არმატურა აქ ტიპიურია მსუბუქი პერიმეტრის კედლისთვის — 0.80 მ ბლოკი. ეს არ არის თქვენი ობიექტის პროექტი. აიღეთ ნახაზი ჯიესენ გრუპისგან და ჩაწერეთ მათი ციფრები. / The section and rebar here are typical for a light 0.80 m perimeter wall. They are not a design for your site. Get the drawing from GSN Group and type their numbers in.</s:t>
        </s:is>
      </s:c>
    </s:row>
    <s:row r="60" ht="30" customHeight="1">
      <s:c r="A60" s="16" t="inlineStr">
        <s:is>
          <s:t>· გაყინვის სიღრმე: აღმოსავლეთ საქართველოში საძირკველი გაყინვის ზონის ქვემოთ უნდა ჩავიდეს. თუ სათბურის კარკასიც ამ საძირკველზე დგება, დატვირთვა სხვაა და ინჟინერი სჭირდება. / Frost depth: the footing must sit below it. And if the greenhouse frame lands on this same foundation, the loads are different and an engineer has to size it.</s:t>
        </s:is>
      </s:c>
    </s:row>
    <s:row r="61" ht="30" customHeight="1">
      <s:c r="A61" s="16" t="inlineStr">
        <s:is>
          <s:t>· 38 მ³ ბეტონი ხელით ურევად ბევრია. მიწოდებული ბეტონი (მიქსერით) ჩვეულებრივ იაფიცაა და უკეთესიც — აიღეთ ფასი ორივეზე. / 38 m³ is a lot of concrete to mix by hand. Ready-mix delivered is usually both cheaper and better at this volume — price both.</s:t>
        </s:is>
      </s:c>
    </s:row>
    <s:row r="62" ht="30" customHeight="1">
      <s:c r="A62" s="16" t="inlineStr">
        <s:is>
          <s:t>· ეს რაოდენობაა, არა ფასი. ფასი ხარჯების ლეჯერში შედის ყიდვის შემდეგ. / These are quantities, not costs. The cost goes into the expense ledger when it is bought.</s:t>
        </s:is>
      </s:c>
    </s:row>
  </s:sheetData>
  <s:mergeCells count="12">
    <s:mergeCell ref="A5:D5"/>
    <s:mergeCell ref="A61:D61"/>
    <s:mergeCell ref="A58:D58"/>
    <s:mergeCell ref="A22:D22"/>
    <s:mergeCell ref="A35:D35"/>
    <s:mergeCell ref="A62:D62"/>
    <s:mergeCell ref="A3:D3"/>
    <s:mergeCell ref="A59:D59"/>
    <s:mergeCell ref="A60:D60"/>
    <s:mergeCell ref="A32:D32"/>
    <s:mergeCell ref="A13:D13"/>
    <s:mergeCell ref="A44:D4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2026-09-21T12:12:40Z</dcterms:created>
  <dcterms:modified xsi:type="dcterms:W3CDTF">2026-09-21T12:12:40Z</dcterms:modified>
</cp:coreProperties>
</file>