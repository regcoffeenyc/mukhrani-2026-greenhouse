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Calculator" sheetId="1" state="visible" r:id="rId1"/>
  </s:sheets>
  <s:definedNames/>
  <s:calcPr calcId="191029" fullCalcOnLoad="1"/>
</s: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4" fontId="5" fillId="3" borderId="1" applyAlignment="1" pivotButton="0" quotePrefix="0" xfId="0">
      <alignment horizontal="right" vertical="center" wrapText="1"/>
    </xf>
    <xf numFmtId="164" fontId="5" fillId="3" borderId="1" applyAlignment="1" pivotButton="0" quotePrefix="0" xfId="0">
      <alignment horizontal="right" vertical="center" wrapText="1"/>
    </xf>
    <xf numFmtId="9" fontId="5" fillId="3" borderId="1" applyAlignment="1" pivotButton="0" quotePrefix="0" xfId="0">
      <alignment horizontal="right" vertical="center" wrapText="1"/>
    </xf>
    <xf numFmtId="3" fontId="5" fillId="3" borderId="1" applyAlignment="1" pivotButton="0" quotePrefix="0" xfId="0">
      <alignment horizontal="right" vertical="center" wrapText="1"/>
    </xf>
    <xf numFmtId="4" fontId="5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4" borderId="1" pivotButton="0" quotePrefix="0" xfId="0"/>
    <xf numFmtId="3" fontId="6" fillId="4" borderId="1" applyAlignment="1" pivotButton="0" quotePrefix="0" xfId="0">
      <alignment horizontal="right" vertical="center" wrapText="1"/>
    </xf>
    <xf numFmtId="4" fontId="6" fillId="4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47"/>
  <s:sheetViews>
    <s:sheetView showGridLines="0" workbookViewId="0">
      <s:selection activeCell="A1" sqref="A1"/>
    </s:sheetView>
  </s:sheetViews>
  <s:sheetFormatPr baseColWidth="8" defaultRowHeight="15"/>
  <s:cols>
    <s:col width="46" customWidth="1" min="1" max="1"/>
    <s:col width="14" customWidth="1" min="2" max="2"/>
    <s:col width="10" customWidth="1" min="3" max="3"/>
    <s:col width="52" customWidth="1" min="4" max="4"/>
  </s:cols>
  <s:sheetData>
    <s:row r="1">
      <s:c r="A1" s="1" t="inlineStr">
        <s:is>
          <s:t>ბლოკის კალკულატორი — პერიმეტრის კედელი / BLOCKWORK CALCULATOR — perimeter wall</s:t>
        </s:is>
      </s:c>
    </s:row>
    <s:row r="2">
      <s:c r="A2" s="2" t="inlineStr">
        <s:is>
          <s:t>ყვითელი უჯრები შეცვალეთ. მწვანე — შედეგი. ყველაფერი ფორმულაა. / Edit the yellow cells. Green is the answer. Everything recalculates.</s:t>
        </s:is>
      </s:c>
    </s:row>
    <s:row r="4" ht="20" customHeight="1">
      <s:c r="A4" s="3" t="inlineStr">
        <s:is>
          <s:t>1. რას ვაშენებთ / WHAT WE ARE BUILDING</s:t>
        </s:is>
      </s:c>
    </s:row>
    <s:row r="5">
      <s:c r="A5" s="4" t="inlineStr">
        <s:is>
          <s:t>პერიმეტრი / Perimeter</s:t>
        </s:is>
      </s:c>
      <s:c r="B5" s="5" t="n">
        <s:v>180</s:v>
      </s:c>
      <s:c r="D5" s="2" t="inlineStr">
        <s:is>
          <s:t>მეტრი / metres — the full run of wall</s:t>
        </s:is>
      </s:c>
    </s:row>
    <s:row r="6">
      <s:c r="A6" s="4" t="inlineStr">
        <s:is>
          <s:t>სიმაღლე / Wall height</s:t>
        </s:is>
      </s:c>
      <s:c r="B6" s="5" t="n">
        <s:v>0.8</s:v>
      </s:c>
      <s:c r="D6" s="2" t="inlineStr">
        <s:is>
          <s:t>მეტრი / metres. 0.80 m = 80 სმ</s:t>
        </s:is>
      </s:c>
    </s:row>
    <s:row r="7">
      <s:c r="A7" s="4" t="inlineStr">
        <s:is>
          <s:t>ღიობები — გამოსაკლები ფართობი / Openings to deduct</s:t>
        </s:is>
      </s:c>
      <s:c r="B7" s="5" t="n">
        <s:v>0</s:v>
      </s:c>
      <s:c r="D7" s="2" t="inlineStr">
        <s:is>
          <s:t>მ² / m². ჭიშკარი, კარი. 0 = ღიობის გარეშე / gates and doors; 0 means none</s:t>
        </s:is>
      </s:c>
    </s:row>
    <s:row r="9" ht="20" customHeight="1">
      <s:c r="A9" s="3" t="inlineStr">
        <s:is>
          <s:t>2. ბლოკი და ნაკერი / BLOCK AND JOINT</s:t>
        </s:is>
      </s:c>
    </s:row>
    <s:row r="10">
      <s:c r="A10" s="4" t="inlineStr">
        <s:is>
          <s:t>ბლოკის სიგრძე / Block length</s:t>
        </s:is>
      </s:c>
      <s:c r="B10" s="6" t="n">
        <s:v>0.4</s:v>
      </s:c>
      <s:c r="D10" s="2" t="inlineStr">
        <s:is>
          <s:t>მეტრი / metres</s:t>
        </s:is>
      </s:c>
    </s:row>
    <s:row r="11">
      <s:c r="A11" s="4" t="inlineStr">
        <s:is>
          <s:t>ბლოკის სიმაღლე / Block height</s:t>
        </s:is>
      </s:c>
      <s:c r="B11" s="6" t="n">
        <s:v>0.2</s:v>
      </s:c>
      <s:c r="D11" s="2" t="inlineStr">
        <s:is>
          <s:t>მეტრი / metres</s:t>
        </s:is>
      </s:c>
    </s:row>
    <s:row r="12">
      <s:c r="A12" s="4" t="inlineStr">
        <s:is>
          <s:t>ბლოკის სისქე — კედლის სისქე / Block width = wall thickness</s:t>
        </s:is>
      </s:c>
      <s:c r="B12" s="6" t="n">
        <s:v>0.2</s:v>
      </s:c>
      <s:c r="D12" s="2" t="inlineStr">
        <s:is>
          <s:t>მეტრი / metres. ბრტყლად დაწყობილი / laid flat</s:t>
        </s:is>
      </s:c>
    </s:row>
    <s:row r="13">
      <s:c r="A13" s="4" t="inlineStr">
        <s:is>
          <s:t>ნაკერის სისქე / Mortar joint</s:t>
        </s:is>
      </s:c>
      <s:c r="B13" s="6" t="n">
        <s:v>0.01</s:v>
      </s:c>
      <s:c r="D13" s="2" t="inlineStr">
        <s:is>
          <s:t>მეტრი / metres. 0.01 m = 1 სმ, ჩვეულებრივი / 1 cm is normal</s:t>
        </s:is>
      </s:c>
    </s:row>
    <s:row r="14">
      <s:c r="A14" s="4" t="inlineStr">
        <s:is>
          <s:t>ბლოკის მარაგი / Block waste allowance</s:t>
        </s:is>
      </s:c>
      <s:c r="B14" s="7" t="n">
        <s:v>0.05</s:v>
      </s:c>
      <s:c r="D14" s="2" t="inlineStr">
        <s:is>
          <s:t>გატეხილი და მოჭრილი / breakage and cuts. 5% is normal</s:t>
        </s:is>
      </s:c>
    </s:row>
    <s:row r="16" ht="20" customHeight="1">
      <s:c r="A16" s="3" t="inlineStr">
        <s:is>
          <s:t>3. ხსნარი / MORTAR</s:t>
        </s:is>
      </s:c>
    </s:row>
    <s:row r="17">
      <s:c r="A17" s="4" t="inlineStr">
        <s:is>
          <s:t>ცემენტი : ქვიშა / Cement : sand ratio — cement parts</s:t>
        </s:is>
      </s:c>
      <s:c r="B17" s="8" t="n">
        <s:v>1</s:v>
      </s:c>
      <s:c r="D17" s="2" t="inlineStr"/>
    </s:row>
    <s:row r="18">
      <s:c r="A18" s="4" t="inlineStr">
        <s:is>
          <s:t>ცემენტი : ქვიშა / Cement : sand ratio — sand parts</s:t>
        </s:is>
      </s:c>
      <s:c r="B18" s="8" t="n">
        <s:v>4</s:v>
      </s:c>
      <s:c r="D18" s="2" t="inlineStr">
        <s:is>
          <s:t>1:4 ძლიერი, 1:5 ჩვეულებრივი / 1:4 is strong, 1:5 is ordinary</s:t>
        </s:is>
      </s:c>
    </s:row>
    <s:row r="19">
      <s:c r="A19" s="4" t="inlineStr">
        <s:is>
          <s:t>ცემენტი 1 მ³ ხსნარზე / Cement per m³ of mortar</s:t>
        </s:is>
      </s:c>
      <s:c r="B19" s="8" t="n">
        <s:v>350</s:v>
      </s:c>
      <s:c r="D19" s="2" t="inlineStr">
        <s:is>
          <s:t>კგ. 1:4 ≈ 350, 1:5 ≈ 280 / kg. Depends on the mix</s:t>
        </s:is>
      </s:c>
    </s:row>
    <s:row r="20">
      <s:c r="A20" s="4" t="inlineStr">
        <s:is>
          <s:t>ქვიშა 1 მ³ ხსნარზე / Sand per m³ of mortar</s:t>
        </s:is>
      </s:c>
      <s:c r="B20" s="5" t="n">
        <s:v>1.05</s:v>
      </s:c>
      <s:c r="D20" s="2" t="inlineStr">
        <s:is>
          <s:t>მ³ ფხვიერი ქვიშა / m³ of loose sand</s:t>
        </s:is>
      </s:c>
    </s:row>
    <s:row r="21">
      <s:c r="A21" s="4" t="inlineStr">
        <s:is>
          <s:t>ხსნარის მარაგი / Mortar waste allowance</s:t>
        </s:is>
      </s:c>
      <s:c r="B21" s="7" t="n">
        <s:v>0.15</s:v>
      </s:c>
      <s:c r="D21" s="2" t="inlineStr">
        <s:is>
          <s:t>დაღვრა და ნარჩენი / spillage and what sets in the barrow</s:t>
        </s:is>
      </s:c>
    </s:row>
    <s:row r="22">
      <s:c r="A22" s="4" t="inlineStr">
        <s:is>
          <s:t>ტომრის წონა / Bag weight</s:t>
        </s:is>
      </s:c>
      <s:c r="B22" s="8" t="n">
        <s:v>50</s:v>
      </s:c>
      <s:c r="D22" s="2" t="inlineStr">
        <s:is>
          <s:t>კგ / kg</s:t>
        </s:is>
      </s:c>
    </s:row>
    <s:row r="24" ht="20" customHeight="1">
      <s:c r="A24" s="3" t="inlineStr">
        <s:is>
          <s:t>4. გაანგარიშება / THE WORKING</s:t>
        </s:is>
      </s:c>
    </s:row>
    <s:row r="25">
      <s:c r="A25" s="4" t="inlineStr">
        <s:is>
          <s:t>კედლის ფართობი — ბრუტო / Gross wall area</s:t>
        </s:is>
      </s:c>
      <s:c r="B25" s="9">
        <s:f>B5*B6</s:f>
        <s:v>144.0</s:v>
      </s:c>
      <s:c r="D25" s="2" t="inlineStr">
        <s:is>
          <s:t>მ² / m²  = perimeter × height</s:t>
        </s:is>
      </s:c>
    </s:row>
    <s:row r="26">
      <s:c r="A26" s="4" t="inlineStr">
        <s:is>
          <s:t>კედლის ფართობი — ნეტო / Net wall area</s:t>
        </s:is>
      </s:c>
      <s:c r="B26" s="9">
        <s:f>B25-B7</s:f>
        <s:v>144.0</s:v>
      </s:c>
      <s:c r="D26" s="2" t="inlineStr">
        <s:is>
          <s:t>მ² / m²  after openings</s:t>
        </s:is>
      </s:c>
    </s:row>
    <s:row r="27">
      <s:c r="A27" s="4" t="inlineStr">
        <s:is>
          <s:t>ბლოკი 1 მ²-ზე / Blocks per m²</s:t>
        </s:is>
      </s:c>
      <s:c r="B27" s="10">
        <s:f>1/((B10+B13)*(B11+B13))</s:f>
        <s:v>11.614401858304296</s:v>
      </s:c>
      <s:c r="D27" s="2" t="inlineStr">
        <s:is>
          <s:t>ნაკერის ჩათვლით / each block occupies (L+joint) × (H+joint)</s:t>
        </s:is>
      </s:c>
    </s:row>
    <s:row r="28">
      <s:c r="A28" s="4" t="inlineStr">
        <s:is>
          <s:t>რიგი 1 მ სიმაღლეზე / Courses per metre of height</s:t>
        </s:is>
      </s:c>
      <s:c r="B28" s="10">
        <s:f>1/(B11+B13)</s:f>
        <s:v>4.761904761904762</s:v>
      </s:c>
      <s:c r="D28" s="2" t="inlineStr"/>
    </s:row>
    <s:row r="29">
      <s:c r="A29" s="4" t="inlineStr">
        <s:is>
          <s:t>ბეტონის ნაკერი 1 მ²-ზე / Bed-joint mortar per m²</s:t>
        </s:is>
      </s:c>
      <s:c r="B29" s="10">
        <s:f>B28*1*B13*B12</s:f>
        <s:v>0.009523809523809525</s:v>
      </s:c>
      <s:c r="D29" s="2" t="inlineStr">
        <s:is>
          <s:t>მ³ / m³  horizontal joints</s:t>
        </s:is>
      </s:c>
    </s:row>
    <s:row r="30">
      <s:c r="A30" s="4" t="inlineStr">
        <s:is>
          <s:t>ვერტიკალური ნაკერი 1 მ²-ზე / Perpend mortar per m²</s:t>
        </s:is>
      </s:c>
      <s:c r="B30" s="10">
        <s:f>B27*(B11*B12*B13)</s:f>
        <s:v>0.004645760743321719</s:v>
      </s:c>
      <s:c r="D30" s="2" t="inlineStr">
        <s:is>
          <s:t>მ³ / m³  vertical joints between blocks</s:t>
        </s:is>
      </s:c>
    </s:row>
    <s:row r="31">
      <s:c r="A31" s="4" t="inlineStr">
        <s:is>
          <s:t>ხსნარი 1 მ²-ზე / Mortar per m²</s:t>
        </s:is>
      </s:c>
      <s:c r="B31" s="10">
        <s:f>B29+B30</s:f>
        <s:v>0.014169570267131244</s:v>
      </s:c>
      <s:c r="D31" s="2" t="inlineStr">
        <s:is>
          <s:t>მ³ / m³</s:t>
        </s:is>
      </s:c>
    </s:row>
    <s:row r="33" ht="20" customHeight="1">
      <s:c r="A33" s="3" t="inlineStr">
        <s:is>
          <s:t>5. საყიდელი / WHAT TO ORDER</s:t>
        </s:is>
      </s:c>
    </s:row>
    <s:row r="34">
      <s:c r="A34" s="4" t="inlineStr">
        <s:is>
          <s:t>ბლოკი — თეორიული / Blocks — bare requirement</s:t>
        </s:is>
      </s:c>
      <s:c r="B34" s="11">
        <s:f>ROUNDUP(B26*B27,0)</s:f>
        <s:v>1673.0</s:v>
      </s:c>
      <s:c r="D34" s="2" t="inlineStr">
        <s:is>
          <s:t>ცალი / pieces, no allowance</s:t>
        </s:is>
      </s:c>
    </s:row>
    <s:row r="35">
      <s:c r="A35" s="12" t="inlineStr">
        <s:is>
          <s:t>ბლოკი — საყიდელი / BLOCKS TO BUY</s:t>
        </s:is>
      </s:c>
      <s:c r="B35" s="13">
        <s:f>ROUNDUP(B34*(1+B14),0)</s:f>
        <s:v>1757.0</s:v>
      </s:c>
      <s:c r="D35" s="2" t="inlineStr">
        <s:is>
          <s:t>ცალი / pieces, waste included</s:t>
        </s:is>
      </s:c>
    </s:row>
    <s:row r="36">
      <s:c r="A36" s="4" t="inlineStr">
        <s:is>
          <s:t>ხსნარი / Mortar volume</s:t>
        </s:is>
      </s:c>
      <s:c r="B36" s="10">
        <s:f>B26*B31*(1+B21)</s:f>
        <s:v>2.346480836236934</s:v>
      </s:c>
      <s:c r="D36" s="2" t="inlineStr">
        <s:is>
          <s:t>მ³ / m³, waste included</s:t>
        </s:is>
      </s:c>
    </s:row>
    <s:row r="37">
      <s:c r="A37" s="4" t="inlineStr">
        <s:is>
          <s:t>ცემენტი / Cement</s:t>
        </s:is>
      </s:c>
      <s:c r="B37" s="11">
        <s:f>B36*B19</s:f>
        <s:v>821.2682926829269</s:v>
      </s:c>
      <s:c r="D37" s="2" t="inlineStr">
        <s:is>
          <s:t>კგ / kg</s:t>
        </s:is>
      </s:c>
    </s:row>
    <s:row r="38">
      <s:c r="A38" s="12" t="inlineStr">
        <s:is>
          <s:t>ცემენტის ტომარა / CEMENT BAGS</s:t>
        </s:is>
      </s:c>
      <s:c r="B38" s="13">
        <s:f>ROUNDUP(B37/B22,0)</s:f>
        <s:v>17.0</s:v>
      </s:c>
      <s:c r="D38" s="2" t="inlineStr">
        <s:is>
          <s:t>ტომარა / bags</s:t>
        </s:is>
      </s:c>
    </s:row>
    <s:row r="39">
      <s:c r="A39" s="12" t="inlineStr">
        <s:is>
          <s:t>ქვიშა / SAND</s:t>
        </s:is>
      </s:c>
      <s:c r="B39" s="14">
        <s:f>ROUNDUP(B36*B20*10,0)/10</s:f>
        <s:v>2.5</s:v>
      </s:c>
      <s:c r="D39" s="2" t="inlineStr">
        <s:is>
          <s:t>მ³ / m³</s:t>
        </s:is>
      </s:c>
    </s:row>
    <s:row r="40">
      <s:c r="A40" s="4" t="inlineStr">
        <s:is>
          <s:t>წყალი — მიახლოებით / Water, roughly</s:t>
        </s:is>
      </s:c>
      <s:c r="B40" s="11">
        <s:f>ROUNDUP(B37*0.5,0)</s:f>
        <s:v>411.0</s:v>
      </s:c>
      <s:c r="D40" s="2" t="inlineStr">
        <s:is>
          <s:t>ლიტრი / litres ≈ half the cement weight</s:t>
        </s:is>
      </s:c>
    </s:row>
    <s:row r="42" ht="20" customHeight="1">
      <s:c r="A42" s="3" t="inlineStr">
        <s:is>
          <s:t>6. რა არ არის ჩათვლილი / WHAT THIS DOES NOT COVER</s:t>
        </s:is>
      </s:c>
    </s:row>
    <s:row r="43" ht="26" customHeight="1">
      <s:c r="A43" s="15" t="inlineStr">
        <s:is>
          <s:t>· ფუნდამენტი, არმატურა, ანკერი, ბეტონის სარტყელი — ცალკე ითვლება. / Foundation, reinforcement, ties and any concrete ring beam are not in this — price them separately.</s:t>
        </s:is>
      </s:c>
    </s:row>
    <s:row r="44" ht="26" customHeight="1">
      <s:c r="A44" s="15" t="inlineStr">
        <s:is>
          <s:t>· ღიობები: ჭიშკრის ადგილი გამოაკელით ზემოთ, უჯრა B7. 180 მ პერიმეტრს თითქმის ყოველთვის აქვს შესასვლელი. / Openings: put the gate area into B7. A 180 m perimeter almost always has a way in.</s:t>
        </s:is>
      </s:c>
    </s:row>
    <s:row r="45" ht="26" customHeight="1">
      <s:c r="A45" s="15" t="inlineStr">
        <s:is>
          <s:t>· ბლოკი კიდეზე რომ დაიდოს (10 სმ კედელი), შეცვალეთ B12 — ხსნარი განახევრდება. / If the blocks go on edge for a 10 cm wall, change B12 — the mortar roughly halves.</s:t>
        </s:is>
      </s:c>
    </s:row>
    <s:row r="46" ht="26" customHeight="1">
      <s:c r="A46" s="15" t="inlineStr">
        <s:is>
          <s:t>· ცემენტის რაოდენობა ხსნარის შემადგენლობაზეა დამოკიდებული. B19 შეცვალეთ, თუ ოსტატი სხვა პროპორციას იყენებს. / Cement per m³ depends on the mix. Change B19 if your mason works to a different proportion.</s:t>
        </s:is>
      </s:c>
    </s:row>
    <s:row r="47" ht="26" customHeight="1">
      <s:c r="A47" s="15" t="inlineStr">
        <s:is>
          <s:t>· შედეგი მასალაა, არა ფასი. ფასი ხარჯების ლეჯერში შედის მიწოდების შემდეგ. / This gives quantities, not cost. The cost goes into the expense ledger when it is bought.</s:t>
        </s:is>
      </s:c>
    </s:row>
  </s:sheetData>
  <s:mergeCells count="11">
    <s:mergeCell ref="A45:D45"/>
    <s:mergeCell ref="A9:D9"/>
    <s:mergeCell ref="A4:D4"/>
    <s:mergeCell ref="A43:D43"/>
    <s:mergeCell ref="A24:D24"/>
    <s:mergeCell ref="A33:D33"/>
    <s:mergeCell ref="A16:D16"/>
    <s:mergeCell ref="A47:D47"/>
    <s:mergeCell ref="A42:D42"/>
    <s:mergeCell ref="A46:D46"/>
    <s:mergeCell ref="A44:D4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2026-09-21T12:07:25Z</dcterms:created>
  <dcterms:modified xsi:type="dcterms:W3CDTF">2026-09-21T12:07:25Z</dcterms:modified>
</cp:coreProperties>
</file>