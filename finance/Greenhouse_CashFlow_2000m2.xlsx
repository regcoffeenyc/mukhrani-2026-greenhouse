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Instructions" sheetId="1" state="visible" r:id="rId1"/>
    <s:sheet name="Budget" sheetId="2" state="visible" r:id="rId2"/>
    <s:sheet name="Assumptions" sheetId="3" state="visible" r:id="rId3"/>
    <s:sheet name="OPEX" sheetId="4" state="visible" r:id="rId4"/>
    <s:sheet name="Loan" sheetId="5" state="visible" r:id="rId5"/>
    <s:sheet name="CF_Monthly" sheetId="6" state="visible" r:id="rId6"/>
    <s:sheet name="Annual" sheetId="7" state="visible" r:id="rId7"/>
    <s:sheet name="Sensitivity" sheetId="8" state="visible" r:id="rId8"/>
    <s:sheet name="Actuals" sheetId="9" state="visible" r:id="rId9"/>
  </s:sheets>
  <s:definedNames/>
  <s:calcPr calcId="191029" fullCalcOnLoad="1"/>
</s:workbook>
</file>

<file path=xl/styles.xml><?xml version="1.0" encoding="utf-8"?>
<styleSheet xmlns="http://schemas.openxmlformats.org/spreadsheetml/2006/main">
  <numFmts count="8">
    <numFmt numFmtId="164" formatCode="#,##0.0"/>
    <numFmt numFmtId="165" formatCode="#,##0;(#,##0);&quot;-&quot;"/>
    <numFmt numFmtId="166" formatCode="#,##0.00;(#,##0.00);&quot;-&quot;"/>
    <numFmt numFmtId="167" formatCode="0.0000"/>
    <numFmt numFmtId="168" formatCode="0.0%;(0.0%);&quot;-&quot;"/>
    <numFmt numFmtId="169" formatCode="0.00x"/>
    <numFmt numFmtId="170" formatCode="DD/MM/YYYY"/>
    <numFmt numFmtId="171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pivotButton="0" quotePrefix="0" xfId="0"/>
    <xf numFmtId="0" fontId="0" fillId="4" borderId="0" pivotButton="0" quotePrefix="0" xfId="0"/>
    <xf numFmtId="0" fontId="8" fillId="3" borderId="0" applyAlignment="1" pivotButton="0" quotePrefix="0" xfId="0">
      <alignment horizontal="center" vertical="center"/>
    </xf>
    <xf numFmtId="0" fontId="7" fillId="2" borderId="1" pivotButton="0" quotePrefix="0" xfId="0"/>
    <xf numFmtId="165" fontId="7" fillId="2" borderId="1" applyAlignment="1" pivotButton="0" quotePrefix="0" xfId="0">
      <alignment horizontal="right" vertical="center"/>
    </xf>
    <xf numFmtId="168" fontId="7" fillId="2" borderId="1" applyAlignment="1" pivotButton="0" quotePrefix="0" xfId="0">
      <alignment horizontal="right" vertical="center"/>
    </xf>
    <xf numFmtId="0" fontId="4" fillId="2" borderId="1" pivotButton="0" quotePrefix="0" xfId="0"/>
    <xf numFmtId="0" fontId="3" fillId="0" borderId="1" pivotButton="0" quotePrefix="0" xfId="0"/>
    <xf numFmtId="165" fontId="3" fillId="0" borderId="1" applyAlignment="1" pivotButton="0" quotePrefix="0" xfId="0">
      <alignment horizontal="right" vertical="center"/>
    </xf>
    <xf numFmtId="168" fontId="3" fillId="0" borderId="1" applyAlignment="1" pivotButton="0" quotePrefix="0" xfId="0">
      <alignment horizontal="right" vertical="center"/>
    </xf>
    <xf numFmtId="0" fontId="4" fillId="0" borderId="1" pivotButton="0" quotePrefix="0" xfId="0"/>
    <xf numFmtId="165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0" fontId="6" fillId="2" borderId="1" pivotButton="0" quotePrefix="0" xfId="0"/>
    <xf numFmtId="165" fontId="6" fillId="2" borderId="1" applyAlignment="1" pivotButton="0" quotePrefix="0" xfId="0">
      <alignment horizontal="right" vertical="center"/>
    </xf>
    <xf numFmtId="168" fontId="6" fillId="2" borderId="1" applyAlignment="1" pivotButton="0" quotePrefix="0" xfId="0">
      <alignment horizontal="right" vertical="center"/>
    </xf>
    <xf numFmtId="0" fontId="3" fillId="5" borderId="1" pivotButton="0" quotePrefix="0" xfId="0"/>
    <xf numFmtId="165" fontId="3" fillId="5" borderId="1" applyAlignment="1" pivotButton="0" quotePrefix="0" xfId="0">
      <alignment horizontal="right" vertical="center"/>
    </xf>
    <xf numFmtId="168" fontId="3" fillId="5" borderId="1" applyAlignment="1" pivotButton="0" quotePrefix="0" xfId="0">
      <alignment horizontal="right" vertical="center"/>
    </xf>
    <xf numFmtId="0" fontId="4" fillId="5" borderId="1" pivotButton="0" quotePrefix="0" xfId="0"/>
    <xf numFmtId="166" fontId="1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right" vertical="center"/>
    </xf>
    <xf numFmtId="167" fontId="10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pivotButton="0" quotePrefix="0" xfId="0"/>
    <xf numFmtId="1" fontId="9" fillId="0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9" fillId="2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9" fillId="2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3" fontId="9" fillId="2" borderId="1" applyAlignment="1" pivotButton="0" quotePrefix="0" xfId="0">
      <alignment horizontal="right" vertical="center"/>
    </xf>
    <xf numFmtId="167" fontId="9" fillId="2" borderId="1" applyAlignment="1" pivotButton="0" quotePrefix="0" xfId="0">
      <alignment horizontal="right" vertical="center"/>
    </xf>
    <xf numFmtId="10" fontId="9" fillId="2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" fontId="9" fillId="2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0" fontId="8" fillId="3" borderId="0" pivotButton="0" quotePrefix="0" xfId="0"/>
    <xf numFmtId="168" fontId="9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165" fontId="6" fillId="0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169" fontId="3" fillId="0" borderId="1" applyAlignment="1" pivotButton="0" quotePrefix="0" xfId="0">
      <alignment horizontal="right" vertical="center"/>
    </xf>
    <xf numFmtId="168" fontId="8" fillId="3" borderId="0" applyAlignment="1" pivotButton="0" quotePrefix="0" xfId="0">
      <alignment horizontal="center" vertical="center"/>
    </xf>
    <xf numFmtId="169" fontId="4" fillId="0" borderId="1" applyAlignment="1" pivotButton="0" quotePrefix="0" xfId="0">
      <alignment horizontal="right" vertical="center"/>
    </xf>
    <xf numFmtId="170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Model</author>
  </authors>
  <commentList>
    <comment ref="B28" authorId="0" shapeId="0">
      <text>
        <t>წყარო: ბანკის ამონაწერი, 09/07/2026 — 22,000 USD = 58,044.80 GEL, დანიშნულებაში კურსი 2.6384. იხ. Actuals.
Source: bank statement, 09/07/2026 — USD 22,000 = GEL 58,044.80, rate 2.6384 stated in the description. See Actuals.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C41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46" customWidth="1" min="2" max="2"/>
    <s:col width="78" customWidth="1" min="3" max="3"/>
  </s:cols>
  <s:sheetData>
    <s:row r="2">
      <s:c r="B2" s="1" t="inlineStr">
        <s:is>
          <s:t>სათბურის ფულადი ნაკადები / GREENHOUSE CASH-FLOW MODEL</s:t>
        </s:is>
      </s:c>
    </s:row>
    <s:row r="3">
      <s:c r="B3" s="2" t="inlineStr">
        <s:is>
          <s:t>2,000 m² · წელიწადში 2 მოსავალი / two harvest cycles per year · საბანკო სესხი / bank loan USD 140,000</s:t>
        </s:is>
      </s:c>
    </s:row>
    <s:row r="5">
      <s:c r="B5" s="3" t="inlineStr"/>
      <s:c r="C5" s="4" t="inlineStr"/>
    </s:row>
    <s:row r="6">
      <s:c r="B6" s="5" t="inlineStr">
        <s:is>
          <s:t>როგორ ვიმუშაოთ / HOW TO USE</s:t>
        </s:is>
      </s:c>
      <s:c r="C6" s="4" t="inlineStr"/>
    </s:row>
    <s:row r="7">
      <s:c r="B7" s="3" t="inlineStr">
        <s:is>
          <s:t>1. Assumptions</s:t>
        </s:is>
      </s:c>
      <s:c r="C7" s="4" t="inlineStr">
        <s:is>
          <s:t>ყველა დაშვება აქ იცვლება. მხოლოდ ლურჯი და ყვითელი უჯრები შეავსეთ. / All drivers live here. Edit ONLY the blue and yellow cells.</s:t>
        </s:is>
      </s:c>
    </s:row>
    <s:row r="8">
      <s:c r="B8" s="3" t="inlineStr">
        <s:is>
          <s:t>2. OPEX</s:t>
        </s:is>
      </s:c>
      <s:c r="C8" s="4" t="inlineStr">
        <s:is>
          <s:t>150,000 GEL წლიური ხარჯის დაშლა 8 კატეგორიად + სეზონურობა თვეების მიხედვით. / The 150,000 GEL annual OPEX split into 8 categories with monthly seasonality.</s:t>
        </s:is>
      </s:c>
    </s:row>
    <s:row r="9">
      <s:c r="B9" s="5" t="inlineStr">
        <s:is>
          <s:t>Loan</s:t>
        </s:is>
      </s:c>
      <s:c r="C9" s="4" t="inlineStr">
        <s:is>
          <s:t>625,000 ₾ კრედიტის 120-თვიანი გრაფიკი სააგენტოს თანადაფინანსებით, ბანკის დანართ #1-თან შედარებით. / The 120-month schedule of the 625,000 GEL credit with the agency co-financing, checked against the bank Annex 1.</s:t>
        </s:is>
      </s:c>
    </s:row>
    <s:row r="10">
      <s:c r="B10" s="3" t="inlineStr">
        <s:is>
          <s:t>4. CF_Monthly</s:t>
        </s:is>
      </s:c>
      <s:c r="C10" s="4" t="inlineStr">
        <s:is>
          <s:t>წელი 1 — თვიური ფულადი ნაკადი (იან–დეკ). მთავარი ცხრილი. / Year 1 monthly cash flow (Jan–Dec). The main statement.</s:t>
        </s:is>
      </s:c>
    </s:row>
    <s:row r="11">
      <s:c r="B11" s="3" t="inlineStr">
        <s:is>
          <s:t>5. Annual</s:t>
        </s:is>
      </s:c>
      <s:c r="C11" s="4" t="inlineStr">
        <s:is>
          <s:t>წლები 1–5 — შემოსავალი, EBITDA, ვალის მომსახურება, DSCR. / Years 1–5 summary: revenue, EBITDA, debt service, DSCR.</s:t>
        </s:is>
      </s:c>
    </s:row>
    <s:row r="12">
      <s:c r="B12" s="3" t="inlineStr">
        <s:is>
          <s:t>6. Sensitivity</s:t>
        </s:is>
      </s:c>
      <s:c r="C12" s="4" t="inlineStr">
        <s:is>
          <s:t>ფასისა და მოსავლიანობის მგრძნობელობა + წაგება-მოგების ზღვარი. / Price &amp; yield sensitivity plus break-even.</s:t>
        </s:is>
      </s:c>
    </s:row>
    <s:row r="13">
      <s:c r="B13" s="3" t="inlineStr">
        <s:is>
          <s:t>7. Actuals</s:t>
        </s:is>
      </s:c>
      <s:c r="C13" s="4" t="inlineStr">
        <s:is>
          <s:t>შპს მუხრანი 2026-ის ბანკის ამონაწერი — ფაქტობრივი გადარიცხვები 01/07–08/09/2026. / LLC Mukhrani 2026 bank statement — actual payments 1 Jul – 8 Sep 2026.</s:t>
        </s:is>
      </s:c>
    </s:row>
    <s:row r="14">
      <s:c r="B14" s="5" t="inlineStr">
        <s:is>
          <s:t>Budget</s:t>
        </s:is>
      </s:c>
      <s:c r="C14" s="4" t="inlineStr">
        <s:is>
          <s:t>ბიუჯეტი 625,000 ₾ და სად ვართ: დახარჯული, ვალდებული, თავისუფალი ნაშთი, ხარჯი კატეგორიებად და თვეებად. / The 625,000 GEL budget and where it stands: spent, committed, free, by category and by month.</s:t>
        </s:is>
      </s:c>
    </s:row>
    <s:row r="15">
      <s:c r="B15" s="3" t="inlineStr"/>
      <s:c r="C15" s="4" t="inlineStr"/>
    </s:row>
    <s:row r="16">
      <s:c r="B16" s="5" t="inlineStr">
        <s:is>
          <s:t>ფერების ლეგენდა / COLOUR LEGEND</s:t>
        </s:is>
      </s:c>
      <s:c r="C16" s="4" t="inlineStr"/>
    </s:row>
    <s:row r="17">
      <s:c r="B17" s="6" t="inlineStr">
        <s:is>
          <s:t>ლურჯი ციფრი / Blue number</s:t>
        </s:is>
      </s:c>
      <s:c r="C17" s="4" t="inlineStr">
        <s:is>
          <s:t>ხელით შეყვანილი დაშვება — შეცვალეთ თავისუფლად. / Hardcoded input — edit freely.</s:t>
        </s:is>
      </s:c>
    </s:row>
    <s:row r="18">
      <s:c r="B18" s="7" t="inlineStr">
        <s:is>
          <s:t>ყვითელი ფონი / Yellow fill</s:t>
        </s:is>
      </s:c>
      <s:c r="C18" s="4" t="inlineStr">
        <s:is>
          <s:t>კრიტიკული დაშვება, გადაამოწმეთ. / Key assumption, verify before use.</s:t>
        </s:is>
      </s:c>
    </s:row>
    <s:row r="19">
      <s:c r="B19" s="3" t="inlineStr">
        <s:is>
          <s:t>შავი ციფრი / Black number</s:t>
        </s:is>
      </s:c>
      <s:c r="C19" s="4" t="inlineStr">
        <s:is>
          <s:t>ფორმულა — ნუ შეცვლით. / Formula — do not overwrite.</s:t>
        </s:is>
      </s:c>
    </s:row>
    <s:row r="20">
      <s:c r="B20" s="8" t="inlineStr">
        <s:is>
          <s:t>მწვანე ციფრი / Green number</s:t>
        </s:is>
      </s:c>
      <s:c r="C20" s="4" t="inlineStr">
        <s:is>
          <s:t>სხვა ფურცელზე მიბმული ფორმულა. / Link to another sheet.</s:t>
        </s:is>
      </s:c>
    </s:row>
    <s:row r="22">
      <s:c r="B22" s="5" t="inlineStr">
        <s:is>
          <s:t>წყაროები და დაშვებები / SOURCES &amp; ASSUMPTIONS</s:t>
        </s:is>
      </s:c>
    </s:row>
    <s:row r="23" ht="30" customHeight="1">
      <s:c r="B23" s="3" t="inlineStr">
        <s:is>
          <s:t>ფართობი / Area — 2,000 m²</s:t>
        </s:is>
      </s:c>
      <s:c r="C23" s="9" t="inlineStr">
        <s:is>
          <s:t>მომხმარებლის მონაცემი / Given by the user.</s:t>
        </s:is>
      </s:c>
    </s:row>
    <s:row r="24" ht="30" customHeight="1">
      <s:c r="B24" s="3" t="inlineStr">
        <s:is>
          <s:t>ციკლები / Cycles — 2 per year</s:t>
        </s:is>
      </s:c>
      <s:c r="C24" s="9" t="inlineStr">
        <s:is>
          <s:t>მომხმარებლის მონაცემი / Given by the user.</s:t>
        </s:is>
      </s:c>
    </s:row>
    <s:row r="25" ht="30" customHeight="1">
      <s:c r="B25" s="3" t="inlineStr">
        <s:is>
          <s:t>ზამთრის მოსავალი / Winter harvest — 85 t (80–90 range)</s:t>
        </s:is>
      </s:c>
      <s:c r="C25" s="9" t="inlineStr">
        <s:is>
          <s:t>მომხმარებელმა მიუთითა „80-90 kg". 2,000 m²-ზე ეს ფიზიკურად ტონებია (42.5 kg/m²), ამიტომ მოდელში ჩადებულია 85 ტონა (80–90-ის შუალედი). თუ სხვა რიცხვია — შეცვალეთ Assumptions!B10. / User wrote "80-90 kg"; for 2,000 m² this can only mean tonnes (42.5 kg/m²), so 85 t (mid-range) is used. Correct Assumptions!B10 if the intent differed.</s:t>
        </s:is>
      </s:c>
    </s:row>
    <s:row r="26" ht="30" customHeight="1">
      <s:c r="B26" s="3" t="inlineStr">
        <s:is>
          <s:t>ზამთრის ფასი / Winter price — 4.50 GEL/kg</s:t>
        </s:is>
      </s:c>
      <s:c r="C26" s="9" t="inlineStr">
        <s:is>
          <s:t>მომხმარებლის მონაცემი / Given by the user.</s:t>
        </s:is>
      </s:c>
    </s:row>
    <s:row r="27" ht="30" customHeight="1">
      <s:c r="B27" s="3" t="inlineStr">
        <s:is>
          <s:t>ზაფხულის მოსავალი / Summer harvest — 70 t</s:t>
        </s:is>
      </s:c>
      <s:c r="C27" s="9" t="inlineStr">
        <s:is>
          <s:t>მომხმარებლის მონაცემი / Given by the user (35 kg/m²).</s:t>
        </s:is>
      </s:c>
    </s:row>
    <s:row r="28" ht="30" customHeight="1">
      <s:c r="B28" s="3" t="inlineStr">
        <s:is>
          <s:t>ზაფხულის ფასი / Summer price — 3.00 GEL/kg</s:t>
        </s:is>
      </s:c>
      <s:c r="C28" s="9" t="inlineStr">
        <s:is>
          <s:t>მომხმარებლის მონაცემი / Given by the user.</s:t>
        </s:is>
      </s:c>
    </s:row>
    <s:row r="29" ht="30" customHeight="1">
      <s:c r="B29" s="3" t="inlineStr">
        <s:is>
          <s:t>OPEX — 150,000 GEL/წელი</s:t>
        </s:is>
      </s:c>
      <s:c r="C29" s="9" t="inlineStr">
        <s:is>
          <s:t>მომხმარებლის მონაცემი. 8 კატეგორიად დაშლა და თვიური სეზონურობა მოდელის დაშვებაა — შეცვლადია OPEX ფურცელზე. / Total given by the user; the split into 8 categories and the monthly seasonality are the model's own assumptions and are editable on the OPEX sheet.</s:t>
        </s:is>
      </s:c>
    </s:row>
    <s:row r="30" ht="30" customHeight="1">
      <s:c r="B30" s="3" t="inlineStr">
        <s:is>
          <s:t>კრედიტი / Credit — 625,000 ₾, სს „ბანკი ქართუ"</s:t>
        </s:is>
      </s:c>
      <s:c r="C30" s="9" t="inlineStr">
        <s:is>
          <s:t>ხელშეკრულება GA/1-876787–001, 17/06/2026, მსესხებელი შპს მუხრანი 2026 (ს/ნ 404801602); ვადა 17/06/2036, 120 თვე; შეღავათიანი აგრო კრედიტი, მიზნობრიობა — ძირითადი საშუალებების ფინანსირება (პუნქტები 3.6, 3.8, 3.11). / Contract GA/1-876787–001 of 17/06/2026 with LLC Mukhrani 2026; matures 17/06/2036 over 120 months; preferential agro credit for financing fixed assets (clauses 3.6, 3.8, 3.11).</s:t>
        </s:is>
      </s:c>
    </s:row>
    <s:row r="31" ht="30" customHeight="1">
      <s:c r="B31" s="3" t="inlineStr">
        <s:is>
          <s:t>განაკვეთი / Rate — 12.64%, შემდეგ 13.40%</s:t>
        </s:is>
      </s:c>
      <s:c r="C31" s="9" t="inlineStr">
        <s:is>
          <s:t>12.64% 17/06/2028-მდე; შემდეგ ინდექსირებული = რეფინანსირება + 5.14%, არანაკლებ 10% და არაუმეტეს 18%. ეფექტური 13.77% / 13.78%. მე-2 განაკვეთი 13.40% ბანკის დანართ #1-იდანაა ნაგულისხმევი (რეფინანსირება 8.26% + 5.14%). / 12.64% to 17/06/2028, then indexed at refinancing + 5.14%, floor 10%, cap 18%. Effective APR 13.77% / 13.78%. The 13.40% second rate is what the bank's own Annex 1 implies (refinancing 8.26% + 5.14%).</s:t>
        </s:is>
      </s:c>
    </s:row>
    <s:row r="32" ht="30" customHeight="1">
      <s:c r="B32" s="3" t="inlineStr">
        <s:is>
          <s:t>თანადაფინანსება / Co-financing — 11% p.a., 48 თვე</s:t>
        </s:is>
      </s:c>
      <s:c r="C32" s="9" t="inlineStr">
        <s:is>
          <s:t>სოფლის განვითარების სააგენტო აფინანსებს ძირითადი თანხის წლიურ 11%-ს, არაუმეტეს 48 თვისა (პუნქტი 3.5). მოდელში ეს ამცირებს პროცენტის ტვირთს დაახლოებით 256,000 ₾-ით. / The Rural Development Agency co-finances 11% p.a. of the principal for up to 48 months (clause 3.5) — worth about 256,000 GEL of the interest bill.</s:t>
        </s:is>
      </s:c>
    </s:row>
    <s:row r="33" ht="30" customHeight="1">
      <s:c r="B33" s="3" t="inlineStr">
        <s:is>
          <s:t>გრაფიკი / Schedule — 12 თვე შეღავათი</s:t>
        </s:is>
      </s:c>
      <s:c r="C33" s="9" t="inlineStr">
        <s:is>
          <s:t>დანართი #1: თვე 1–12 გადახდის გარეშე, მე-13 თვეს იფარება დაგროვილი პროცენტი, შემდეგ ანუიტეტი 107 თვის განმავლობაში. / Annex 1: months 1–12 pay nothing, month 13 clears the accrued interest, then a 107-month annuity.</s:t>
        </s:is>
      </s:c>
    </s:row>
    <s:row r="34" ht="30" customHeight="1">
      <s:c r="B34" s="3" t="inlineStr">
        <s:is>
          <s:t>კურსი / FX — 2.6384 ₾/$</s:t>
        </s:is>
      </s:c>
      <s:c r="C34" s="9" t="inlineStr">
        <s:is>
          <s:t>ფაქტი: ბანკის ამონაწერი 09/07/2026 — 22,000 USD = 58,044.80 GEL, დანიშნულებაში მითითებული კურსი 2.6384. (04/08/2026: 5,000 USD = 13,100 GEL → 2.62.) / Actual: bank statement 09/07/2026 — USD 22,000 = GEL 58,044.80, rate 2.6384 stated in the payment description. (04/08/2026: USD 5,000 = GEL 13,100 → 2.62.)</s:t>
        </s:is>
      </s:c>
    </s:row>
    <s:row r="35" ht="30" customHeight="1">
      <s:c r="B35" s="3" t="inlineStr">
        <s:is>
          <s:t>ფაქტობრივი ხარჯი / Actual spend — 90,541.21 GEL</s:t>
        </s:is>
      </s:c>
      <s:c r="C35" s="9" t="inlineStr">
        <s:is>
          <s:t>წყარო: transaction_history_all_accounts_20260401_20260909.csv, ანგარიში GE66CR0000009572073602, შპს მუხრანი 2026. 15 გადარიცხვა 01/07–08/09/2026, შემოსავალი ამონაწერში არ ფიქსირდება. / Source: the Drive file transaction_history_all_accounts_20260401_20260909.csv, account GE66CR0000009572073602, LLC Mukhrani 2026. 15 payments 1 Jul – 8 Sep 2026; the statement shows no inflows.</s:t>
        </s:is>
      </s:c>
    </s:row>
    <s:row r="36" ht="30" customHeight="1">
      <s:c r="B36" s="3" t="inlineStr">
        <s:is>
          <s:t>ხელშეკრულება N1 / Contract N1 — 7/6/2026, შპს ჯიესენ გრუპ</s:t>
        </s:is>
      </s:c>
      <s:c r="C36" s="9" t="inlineStr">
        <s:is>
          <s:t>ავანსები 22,000 + 5,000 USD გადახდილია (Actuals ფურცელი). ხელშეკრულების PDF სკანირებულია და ტექსტურად არ იკითხება, ამიტომ ჯამური ღირებულება ხელით შესავსებია — Project!B31. / Advances of USD 22,000 + 5,000 are paid (see the Actuals sheet). The contract PDF is a scan with no text layer, so its total value has to be typed in by hand — Project!B31.</s:t>
        </s:is>
      </s:c>
    </s:row>
    <s:row r="37" ht="30" customHeight="1">
      <s:c r="B37" s="3" t="inlineStr">
        <s:is>
          <s:t>გაყიდვების სეზონურობა / Sales seasonality</s:t>
        </s:is>
      </s:c>
      <s:c r="C37" s="9" t="inlineStr">
        <s:is>
          <s:t>მოდელის დაშვება: ზამთრის მოსავალი იყიდება დეკ–აპრ, ზაფხულის — ივნ–სექ. / Model assumption: winter crop sold Dec–Apr, summer crop Jun–Sep. Editable on CF_Monthly rows 7–8.</s:t>
        </s:is>
      </s:c>
    </s:row>
    <s:row r="38" ht="30" customHeight="1">
      <s:c r="B38" s="3" t="inlineStr">
        <s:is>
          <s:t>გადასახადი / Profit tax — 0%</s:t>
        </s:is>
      </s:c>
      <s:c r="C38" s="9" t="inlineStr">
        <s:is>
          <s:t>საქართველოში მოგების გადასახადი მხოლოდ განაწილებისას იბეგრება, ხოლო პირველადი სასოფლო წარმოება 200,000 GEL ბრუნვამდე გათავისუფლებულია. მოდელში ნაგულისხმევია 0% — შეიყვანეთ თქვენი განაკვეთი Assumptions!B42. / Georgia taxes distributed profit only, and primary agricultural production is exempt below 200,000 GEL turnover. Default is 0% — set your own rate in Assumptions!B42.</s:t>
        </s:is>
      </s:c>
    </s:row>
    <s:row r="39" ht="30" customHeight="1">
      <s:c r="B39" s="3" t="inlineStr">
        <s:is>
          <s:t>კაპიტალური ხარჯი / CAPEX</s:t>
        </s:is>
      </s:c>
      <s:c r="C39" s="9" t="inlineStr">
        <s:is>
          <s:t>მოდელი ასახავს ოპერირების ფაზას: სესხი უკვე ათვისებულია, სათბური აშენებულია. თუ 1-ელ წელს გსურთ ჩარიცხვა+CAPEX — Assumptions!B44 = 1. / The model runs the operating phase (loan already drawn, greenhouse built). Set Assumptions!B44 = 1 to show the drawdown and matching CAPEX in Year 1.</s:t>
        </s:is>
      </s:c>
    </s:row>
    <s:row r="41">
      <s:c r="B41" s="5" t="inlineStr">
        <s:is>
          <s:t>შენიშვნა / NOTE</s:t>
        </s:is>
      </s:c>
      <s:c r="C41" s="2" t="inlineStr">
        <s:is>
          <s:t>ეს არის ფინანსური მოდელი დაშვებებზე დაყრდნობით და არა საინვესტიციო რჩევა. / This is an assumption-driven model, not investment advice.</s:t>
        </s:is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G54"/>
  <s:sheetViews>
    <s:sheetView showGridLines="0" workbookViewId="0">
      <s:selection activeCell="A1" sqref="A1"/>
    </s:sheetView>
  </s:sheetViews>
  <s:sheetFormatPr baseColWidth="8" defaultRowHeight="15"/>
  <s:cols>
    <s:col width="50" customWidth="1" min="1" max="1"/>
    <s:col width="17" customWidth="1" min="2" max="2"/>
    <s:col width="15" customWidth="1" min="3" max="3"/>
    <s:col width="22" customWidth="1" min="4" max="4"/>
    <s:col width="16" customWidth="1" min="5" max="5"/>
    <s:col width="16" customWidth="1" min="6" max="6"/>
    <s:col width="46" customWidth="1" min="7" max="7"/>
  </s:cols>
  <s:sheetData>
    <s:row r="1">
      <s:c r="A1" s="1" t="inlineStr">
        <s:is>
          <s:t>ბიუჯეტი და გახარჯვა / BUDGET AND SPEND</s:t>
        </s:is>
      </s:c>
    </s:row>
    <s:row r="2">
      <s:c r="A2" s="2" t="inlineStr">
        <s:is>
          <s:t>ბიუჯეტი — 625,000 ₾ კრედიტი. გახარჯვა — ბანკის ამონაწერი (Actuals). / The budget is the 625,000 GEL credit; the spend is the bank statement on the Actuals sheet.</s:t>
        </s:is>
      </s:c>
    </s:row>
    <s:row r="4">
      <s:c r="A4" s="10" t="inlineStr">
        <s:is>
          <s:t>1. სად ვართ / WHERE WE ARE</s:t>
        </s:is>
      </s:c>
      <s:c r="B4" s="11" t="n"/>
      <s:c r="C4" s="11" t="n"/>
      <s:c r="D4" s="11" t="n"/>
      <s:c r="E4" s="11" t="n"/>
      <s:c r="F4" s="11" t="n"/>
    </s:row>
    <s:row r="5">
      <s:c r="A5" s="12" t="inlineStr">
        <s:is>
          <s:t>მაჩვენებელი / Item</s:t>
        </s:is>
      </s:c>
      <s:c r="B5" s="12" t="inlineStr">
        <s:is>
          <s:t>GEL</s:t>
        </s:is>
      </s:c>
      <s:c r="C5" s="12" t="inlineStr">
        <s:is>
          <s:t>% ბიუჯეტიდან / of budget</s:t>
        </s:is>
      </s:c>
      <s:c r="D5" s="12" t="inlineStr">
        <s:is>
          <s:t>ინდიკატორი / Bar</s:t>
        </s:is>
      </s:c>
    </s:row>
    <s:row r="6">
      <s:c r="A6" s="13" t="inlineStr">
        <s:is>
          <s:t>ბიუჯეტი — კრედიტი / BUDGET — the credit</s:t>
        </s:is>
      </s:c>
      <s:c r="B6" s="14">
        <s:f>Assumptions!$B$27</s:f>
        <s:v>625000.0</s:v>
      </s:c>
      <s:c r="C6" s="15">
        <s:f>IFERROR(B6/$B$6,0)</s:f>
        <s:v>1.0</s:v>
      </s:c>
      <s:c r="D6" s="16" t="str">
        <s:f>REPT("|",ROUND(C6*40,0))</s:f>
        <s:v>||||||||||||||||||||||||||||||||||||||||</s:v>
      </s:c>
    </s:row>
    <s:row r="7">
      <s:c r="A7" s="17" t="inlineStr">
        <s:is>
          <s:t>დახარჯული დღემდე / SPENT to date</s:t>
        </s:is>
      </s:c>
      <s:c r="B7" s="18">
        <s:f>B26</s:f>
        <s:v>210261.63999999998</s:v>
      </s:c>
      <s:c r="C7" s="19">
        <s:f>IFERROR(B7/$B$6,0)</s:f>
        <s:v>0.336418624</s:v>
      </s:c>
      <s:c r="D7" s="20" t="str">
        <s:f>REPT("|",ROUND(C7*40,0))</s:f>
        <s:v>|||||||||||||</s:v>
      </s:c>
    </s:row>
    <s:row r="8">
      <s:c r="A8" s="20" t="inlineStr">
        <s:is>
          <s:t>ავანსი დირექტორზე / ADVANCE issued to the director</s:t>
        </s:is>
      </s:c>
      <s:c r="B8" s="21">
        <s:f>SUMIF($D$16:$D$25,"ADVANCE",$B$16:$B$25)</s:f>
        <s:v>10000.0</s:v>
      </s:c>
      <s:c r="C8" s="22">
        <s:f>IFERROR(B8/$B$6,0)</s:f>
        <s:v>0.016</s:v>
      </s:c>
      <s:c r="D8" s="20" t="str">
        <s:f>REPT("|",ROUND(C8*40,0))</s:f>
        <s:v>|</s:v>
      </s:c>
    </s:row>
    <s:row r="9">
      <s:c r="A9" s="23" t="inlineStr">
        <s:is>
          <s:t>აქედან ანგარიშგებულია / of which already accounted for by receipts</s:t>
        </s:is>
      </s:c>
      <s:c r="B9" s="24" t="n">
        <s:v>3019.65</s:v>
      </s:c>
      <s:c r="C9" s="25">
        <s:f>IFERROR(B9/$B$6,0)</s:f>
        <s:v>0.00483144</s:v>
      </s:c>
      <s:c r="D9" s="16" t="str">
        <s:f>REPT("|",ROUND(C9*40,0))</s:f>
        <s:v/>
      </s:c>
    </s:row>
    <s:row r="10">
      <s:c r="A10" s="17" t="inlineStr">
        <s:is>
          <s:t>ვალდებულება — ხელშეკრულებების ნაშთი / COMMITTED — contracts outstanding</s:t>
        </s:is>
      </s:c>
      <s:c r="B10" s="18">
        <s:f>D41</s:f>
        <s:v>176511.19999999998</s:v>
      </s:c>
      <s:c r="C10" s="19">
        <s:f>IFERROR(B10/$B$6,0)</s:f>
        <s:v>0.28241792</s:v>
      </s:c>
      <s:c r="D10" s="20" t="str">
        <s:f>REPT("|",ROUND(C10*40,0))</s:f>
        <s:v>|||||||||||</s:v>
      </s:c>
    </s:row>
    <s:row r="11">
      <s:c r="A11" s="26" t="inlineStr">
        <s:is>
          <s:t>სულ დახარჯული ან ვალდებული / USED or COMMITTED</s:t>
        </s:is>
      </s:c>
      <s:c r="B11" s="27">
        <s:f>B7+(B8-B9)+B10</s:f>
        <s:v>393753.18999999994</s:v>
      </s:c>
      <s:c r="C11" s="28">
        <s:f>IFERROR(B11/$B$6,0)</s:f>
        <s:v>0.6300051039999999</s:v>
      </s:c>
      <s:c r="D11" s="29" t="str">
        <s:f>REPT("|",ROUND(C11*40,0))</s:f>
        <s:v>|||||||||||||||||||||||||</s:v>
      </s:c>
    </s:row>
    <s:row r="12">
      <s:c r="A12" s="26" t="inlineStr">
        <s:is>
          <s:t>თავისუფალი ნაშთი / FREE budget left</s:t>
        </s:is>
      </s:c>
      <s:c r="B12" s="27">
        <s:f>B6-B11</s:f>
        <s:v>231246.81000000006</s:v>
      </s:c>
      <s:c r="C12" s="28">
        <s:f>IFERROR(B12/$B$6,0)</s:f>
        <s:v>0.3699948960000001</s:v>
      </s:c>
      <s:c r="D12" s="29" t="str">
        <s:f>REPT("|",ROUND(C12*40,0))</s:f>
        <s:v>|||||||||||||||</s:v>
      </s:c>
    </s:row>
    <s:row r="14">
      <s:c r="A14" s="10" t="inlineStr">
        <s:is>
          <s:t>2. გახარჯვა კატეგორიებად / SPEND BY CATEGORY</s:t>
        </s:is>
      </s:c>
      <s:c r="B14" s="11" t="n"/>
      <s:c r="C14" s="11" t="n"/>
      <s:c r="D14" s="11" t="n"/>
      <s:c r="E14" s="11" t="n"/>
      <s:c r="F14" s="11" t="n"/>
    </s:row>
    <s:row r="15">
      <s:c r="A15" s="12" t="inlineStr">
        <s:is>
          <s:t>კატეგორია / Category</s:t>
        </s:is>
      </s:c>
      <s:c r="B15" s="12" t="inlineStr">
        <s:is>
          <s:t>დახარჯული GEL / Spent</s:t>
        </s:is>
      </s:c>
      <s:c r="C15" s="12" t="inlineStr">
        <s:is>
          <s:t>% ხარჯიდან / of spend</s:t>
        </s:is>
      </s:c>
      <s:c r="D15" s="12" t="inlineStr">
        <s:is>
          <s:t>კლასიფიკაცია / Treatment</s:t>
        </s:is>
      </s:c>
      <s:c r="E15" s="12" t="inlineStr">
        <s:is>
          <s:t>დაგეგმილი / Planned</s:t>
        </s:is>
      </s:c>
      <s:c r="F15" s="12" t="inlineStr">
        <s:is>
          <s:t>სხვაობა / Variance</s:t>
        </s:is>
      </s:c>
    </s:row>
    <s:row r="16">
      <s:c r="A16" s="20" t="inlineStr">
        <s:is>
          <s:t>მშენებლობის ავანსი / Construction advance</s:t>
        </s:is>
      </s:c>
      <s:c r="B16" s="30">
        <s:f>Actuals!B68</s:f>
        <s:v>178544.8</s:v>
      </s:c>
      <s:c r="C16" s="22">
        <s:f>IFERROR(B16/$B$26,0)</s:f>
        <s:v>0.8491553666184664</s:v>
      </s:c>
      <s:c r="D16" s="31" t="inlineStr">
        <s:is>
          <s:t>CAPEX</s:t>
        </s:is>
      </s:c>
      <s:c r="E16" s="24" t="n"/>
      <s:c r="F16" s="21" t="str">
        <s:f>IF(E16="","",E16-B16)</s:f>
        <s:v/>
      </s:c>
      <s:c r="G16" s="2" t="inlineStr">
        <s:is>
          <s:t>ყვითელი სვეტი ცარიელია — შეავსეთ, თუ კატეგორიებად გეგმა გაქვთ. / The yellow column is empty — fill it in if you have a plan per category.</s:t>
        </s:is>
      </s:c>
    </s:row>
    <s:row r="17">
      <s:c r="A17" s="20" t="inlineStr">
        <s:is>
          <s:t>ხელფასი / Salaries</s:t>
        </s:is>
      </s:c>
      <s:c r="B17" s="30">
        <s:f>Actuals!B69</s:f>
        <s:v>10000.0</s:v>
      </s:c>
      <s:c r="C17" s="22">
        <s:f>IFERROR(B17/$B$26,0)</s:f>
        <s:v>0.04755979264691363</s:v>
      </s:c>
      <s:c r="D17" s="31" t="inlineStr">
        <s:is>
          <s:t>OPEX</s:t>
        </s:is>
      </s:c>
      <s:c r="E17" s="24" t="n"/>
      <s:c r="F17" s="21" t="str">
        <s:f>IF(E17="","",E17-B17)</s:f>
        <s:v/>
      </s:c>
    </s:row>
    <s:row r="18">
      <s:c r="A18" s="20" t="inlineStr">
        <s:is>
          <s:t>გადასახადები / Taxes &amp; pension</s:t>
        </s:is>
      </s:c>
      <s:c r="B18" s="30">
        <s:f>Actuals!B70</s:f>
        <s:v>1470.0</s:v>
      </s:c>
      <s:c r="C18" s="22">
        <s:f>IFERROR(B18/$B$26,0)</s:f>
        <s:v>0.006991289519096304</s:v>
      </s:c>
      <s:c r="D18" s="31" t="inlineStr">
        <s:is>
          <s:t>OPEX</s:t>
        </s:is>
      </s:c>
      <s:c r="E18" s="24" t="n"/>
      <s:c r="F18" s="21" t="str">
        <s:f>IF(E18="","",E18-B18)</s:f>
        <s:v/>
      </s:c>
    </s:row>
    <s:row r="19">
      <s:c r="A19" s="20" t="inlineStr">
        <s:is>
          <s:t>მომსახურება / Services</s:t>
        </s:is>
      </s:c>
      <s:c r="B19" s="30">
        <s:f>Actuals!B71</s:f>
        <s:v>3070.0</s:v>
      </s:c>
      <s:c r="C19" s="22">
        <s:f>IFERROR(B19/$B$26,0)</s:f>
        <s:v>0.014600856342602485</s:v>
      </s:c>
      <s:c r="D19" s="31" t="inlineStr">
        <s:is>
          <s:t>OPEX</s:t>
        </s:is>
      </s:c>
      <s:c r="E19" s="24" t="n"/>
      <s:c r="F19" s="21" t="str">
        <s:f>IF(E19="","",E19-B19)</s:f>
        <s:v/>
      </s:c>
    </s:row>
    <s:row r="20">
      <s:c r="A20" s="20" t="inlineStr">
        <s:is>
          <s:t>საწვავი / Fuel</s:t>
        </s:is>
      </s:c>
      <s:c r="B20" s="30">
        <s:f>Actuals!B72</s:f>
        <s:v>3019.65</s:v>
      </s:c>
      <s:c r="C20" s="22">
        <s:f>IFERROR(B20/$B$26,0)</s:f>
        <s:v>0.014361392786625274</s:v>
      </s:c>
      <s:c r="D20" s="31" t="inlineStr">
        <s:is>
          <s:t>OPEX</s:t>
        </s:is>
      </s:c>
      <s:c r="E20" s="24" t="n"/>
      <s:c r="F20" s="21" t="str">
        <s:f>IF(E20="","",E20-B20)</s:f>
        <s:v/>
      </s:c>
    </s:row>
    <s:row r="21">
      <s:c r="A21" s="20" t="inlineStr">
        <s:is>
          <s:t>მუშების კვება / Worker meals</s:t>
        </s:is>
      </s:c>
      <s:c r="B21" s="30">
        <s:f>Actuals!B73</s:f>
        <s:v>-0.0</s:v>
      </s:c>
      <s:c r="C21" s="22">
        <s:f>IFERROR(B21/$B$26,0)</s:f>
        <s:v>-0.0</s:v>
      </s:c>
      <s:c r="D21" s="31" t="inlineStr">
        <s:is>
          <s:t>OPEX</s:t>
        </s:is>
      </s:c>
      <s:c r="E21" s="24" t="n"/>
      <s:c r="F21" s="21" t="str">
        <s:f>IF(E21="","",E21-B21)</s:f>
        <s:v/>
      </s:c>
    </s:row>
    <s:row r="22">
      <s:c r="A22" s="20" t="inlineStr">
        <s:is>
          <s:t>მასალები / Materials</s:t>
        </s:is>
      </s:c>
      <s:c r="B22" s="30">
        <s:f>Actuals!B74</s:f>
        <s:v>5722.7</s:v>
      </s:c>
      <s:c r="C22" s="22">
        <s:f>IFERROR(B22/$B$26,0)</s:f>
        <s:v>0.02721704253804926</s:v>
      </s:c>
      <s:c r="D22" s="31" t="inlineStr">
        <s:is>
          <s:t>CAPEX</s:t>
        </s:is>
      </s:c>
      <s:c r="E22" s="24" t="n"/>
      <s:c r="F22" s="21" t="str">
        <s:f>IF(E22="","",E22-B22)</s:f>
        <s:v/>
      </s:c>
    </s:row>
    <s:row r="23">
      <s:c r="A23" s="20" t="inlineStr">
        <s:is>
          <s:t>მომწოდებლის ინვოისი / Supplier invoice</s:t>
        </s:is>
      </s:c>
      <s:c r="B23" s="30">
        <s:f>Actuals!B75</s:f>
        <s:v>7505.41</s:v>
      </s:c>
      <s:c r="C23" s="22">
        <s:f>IFERROR(B23/$B$26,0)</s:f>
        <s:v>0.0356955743330072</s:v>
      </s:c>
      <s:c r="D23" s="31" t="inlineStr">
        <s:is>
          <s:t>CAPEX</s:t>
        </s:is>
      </s:c>
      <s:c r="E23" s="24" t="n"/>
      <s:c r="F23" s="21" t="str">
        <s:f>IF(E23="","",E23-B23)</s:f>
        <s:v/>
      </s:c>
    </s:row>
    <s:row r="24">
      <s:c r="A24" s="20" t="inlineStr">
        <s:is>
          <s:t>სხვა / Other</s:t>
        </s:is>
      </s:c>
      <s:c r="B24" s="30">
        <s:f>Actuals!B76</s:f>
        <s:v>929.08</s:v>
      </s:c>
      <s:c r="C24" s="22">
        <s:f>IFERROR(B24/$B$26,0)</s:f>
        <s:v>0.004418685215239452</s:v>
      </s:c>
      <s:c r="D24" s="31" t="inlineStr">
        <s:is>
          <s:t>CAPEX</s:t>
        </s:is>
      </s:c>
      <s:c r="E24" s="24" t="n"/>
      <s:c r="F24" s="21" t="str">
        <s:f>IF(E24="","",E24-B24)</s:f>
        <s:v/>
      </s:c>
    </s:row>
    <s:row r="25">
      <s:c r="A25" s="20" t="inlineStr">
        <s:is>
          <s:t>ავანსი დირექტორზე / Advance to the director</s:t>
        </s:is>
      </s:c>
      <s:c r="B25" s="30">
        <s:f>Actuals!B77</s:f>
        <s:v>10000.0</s:v>
      </s:c>
      <s:c r="C25" s="22">
        <s:f>IFERROR(B25/$B$26,0)</s:f>
        <s:v>0.04755979264691363</s:v>
      </s:c>
      <s:c r="D25" s="31" t="inlineStr">
        <s:is>
          <s:t>ADVANCE</s:t>
        </s:is>
      </s:c>
      <s:c r="E25" s="24" t="n"/>
      <s:c r="F25" s="21" t="str">
        <s:f>IF(E25="","",E25-B25)</s:f>
        <s:v/>
      </s:c>
    </s:row>
    <s:row r="26">
      <s:c r="A26" s="26" t="inlineStr">
        <s:is>
          <s:t>სულ დახარჯული — ავანსის გარეშე / TOTAL SPENT, advances excluded</s:t>
        </s:is>
      </s:c>
      <s:c r="B26" s="32">
        <s:f>SUM(B16:B25)-SUMIF($D$16:$D$25,"ADVANCE",$B$16:$B$25)</s:f>
        <s:v>210261.63999999998</s:v>
      </s:c>
      <s:c r="C26" s="28">
        <s:f>IFERROR(B26/B26,0)</s:f>
        <s:v>1.0</s:v>
      </s:c>
      <s:c r="D26" s="29" t="inlineStr"/>
      <s:c r="E26" s="27" t="str">
        <s:f>IF(COUNT(E16:E25)=0,"",SUM(E16:E25))</s:f>
        <s:v/>
      </s:c>
      <s:c r="F26" s="27" t="str">
        <s:f>IF(E26="","",E26-B26)</s:f>
        <s:v/>
      </s:c>
    </s:row>
    <s:row r="28">
      <s:c r="A28" s="10" t="inlineStr">
        <s:is>
          <s:t>3. ბიუჯეტის ნაშთი თვეების მიხედვით / BUDGET DRAWDOWN BY MONTH</s:t>
        </s:is>
      </s:c>
      <s:c r="B28" s="11" t="n"/>
      <s:c r="C28" s="11" t="n"/>
      <s:c r="D28" s="11" t="n"/>
      <s:c r="E28" s="11" t="n"/>
      <s:c r="F28" s="11" t="n"/>
    </s:row>
    <s:row r="29">
      <s:c r="A29" s="12" t="inlineStr">
        <s:is>
          <s:t>თვე / Month</s:t>
        </s:is>
      </s:c>
      <s:c r="B29" s="12" t="inlineStr">
        <s:is>
          <s:t>ხარჯი / Spend</s:t>
        </s:is>
      </s:c>
      <s:c r="C29" s="12" t="inlineStr">
        <s:is>
          <s:t>კუმულატიური / Cumulative</s:t>
        </s:is>
      </s:c>
      <s:c r="D29" s="12" t="inlineStr">
        <s:is>
          <s:t>ბიუჯეტის ნაშთი / Budget left</s:t>
        </s:is>
      </s:c>
    </s:row>
    <s:row r="30">
      <s:c r="A30" s="20" t="inlineStr">
        <s:is>
          <s:t>ივლისი 2026 / July</s:t>
        </s:is>
      </s:c>
      <s:c r="B30" s="30">
        <s:f>Actuals!B83</s:f>
        <s:v>69796.68000000001</s:v>
      </s:c>
      <s:c r="C30" s="33">
        <s:f>SUM($B$30:B30)</s:f>
        <s:v>69796.68000000001</s:v>
      </s:c>
      <s:c r="D30" s="18">
        <s:f>$B$6-C30</s:f>
        <s:v>555203.32</s:v>
      </s:c>
    </s:row>
    <s:row r="31">
      <s:c r="A31" s="20" t="inlineStr">
        <s:is>
          <s:t>აგვისტო 2026 / August</s:t>
        </s:is>
      </s:c>
      <s:c r="B31" s="30">
        <s:f>Actuals!B84</s:f>
        <s:v>22040.5</s:v>
      </s:c>
      <s:c r="C31" s="33">
        <s:f>SUM($B$30:B31)</s:f>
        <s:v>91837.18000000001</s:v>
      </s:c>
      <s:c r="D31" s="18">
        <s:f>$B$6-C31</s:f>
        <s:v>533162.82</s:v>
      </s:c>
    </s:row>
    <s:row r="32">
      <s:c r="A32" s="20" t="inlineStr">
        <s:is>
          <s:t>სექტემბერი 2026 (21-მდე) / September (to the 21st)</s:t>
        </s:is>
      </s:c>
      <s:c r="B32" s="30">
        <s:f>Actuals!B85</s:f>
        <s:v>128424.45999999999</s:v>
      </s:c>
      <s:c r="C32" s="33">
        <s:f>SUM($B$30:B32)</s:f>
        <s:v>220261.64</s:v>
      </s:c>
      <s:c r="D32" s="18">
        <s:f>$B$6-C32</s:f>
        <s:v>404738.36</s:v>
      </s:c>
    </s:row>
    <s:row r="33">
      <s:c r="A33" s="26" t="inlineStr">
        <s:is>
          <s:t>სულ / TOTAL</s:t>
        </s:is>
      </s:c>
      <s:c r="B33" s="32">
        <s:f>SUM(B30:B32)</s:f>
        <s:v>220261.64</s:v>
      </s:c>
      <s:c r="C33" s="32">
        <s:f>B33-B26-SUMIF($D$16:$D$25,"ADVANCE",$B$16:$B$25)</s:f>
        <s:v>2.9103830456733704e-11</s:v>
      </s:c>
      <s:c r="D33" s="27">
        <s:f>$B$6-B33</s:f>
        <s:v>404738.36</s:v>
      </s:c>
      <s:c r="G33" s="2" t="inlineStr">
        <s:is>
          <s:t>C33 შემოწმებაა — უნდა იყოს 0 / C33 is a check — it must read 0</s:t>
        </s:is>
      </s:c>
    </s:row>
    <s:row r="35">
      <s:c r="A35" s="10" t="inlineStr">
        <s:is>
          <s:t>4. ხელშეკრულებები — შპს ჯიესენ გრუპი / CONTRACTS — LLC GSN GROUP</s:t>
        </s:is>
      </s:c>
      <s:c r="B35" s="11" t="n"/>
      <s:c r="C35" s="11" t="n"/>
      <s:c r="D35" s="11" t="n"/>
      <s:c r="E35" s="11" t="n"/>
      <s:c r="F35" s="11" t="n"/>
    </s:row>
    <s:row r="36">
      <s:c r="A36" s="12" t="inlineStr">
        <s:is>
          <s:t>მუხლი / Item</s:t>
        </s:is>
      </s:c>
      <s:c r="B36" s="12" t="inlineStr">
        <s:is>
          <s:t>USD</s:t>
        </s:is>
      </s:c>
      <s:c r="C36" s="12" t="inlineStr">
        <s:is>
          <s:t>კურსი / Rate</s:t>
        </s:is>
      </s:c>
      <s:c r="D36" s="12" t="inlineStr">
        <s:is>
          <s:t>GEL</s:t>
        </s:is>
      </s:c>
    </s:row>
    <s:row r="37">
      <s:c r="A37" s="20" t="inlineStr">
        <s:is>
          <s:t>N1 — სათბური / the greenhouse</s:t>
        </s:is>
      </s:c>
      <s:c r="B37" s="34" t="n">
        <s:v>125000</s:v>
      </s:c>
      <s:c r="C37" s="35">
        <s:f>Assumptions!$B$28</s:f>
        <s:v>2.6384</s:v>
      </s:c>
      <s:c r="D37" s="21">
        <s:f>B37*Assumptions!$B$28</s:f>
        <s:v>329800.0</s:v>
      </s:c>
      <s:c r="G37" s="2" t="inlineStr">
        <s:is>
          <s:t>ხელშეკრულება N1, 7/6/2026 / contract N1 of 7 June 2026</s:t>
        </s:is>
      </s:c>
    </s:row>
    <s:row r="38">
      <s:c r="A38" s="20" t="inlineStr">
        <s:is>
          <s:t>ტექნიკური ოთახი 200 მ² — პერიმეტრის ბეტონი და ბლოკი / technical room 200 m2 — perimeter concrete and blockwork</s:t>
        </s:is>
      </s:c>
      <s:c r="B38" s="34" t="n">
        <s:v>10000</s:v>
      </s:c>
      <s:c r="C38" s="35">
        <s:f>Assumptions!$B$28</s:f>
        <s:v>2.6384</s:v>
      </s:c>
      <s:c r="D38" s="21">
        <s:f>B38*Assumptions!$B$28</s:f>
        <s:v>26384.0</s:v>
      </s:c>
      <s:c r="G38" s="2" t="inlineStr">
        <s:is>
          <s:t>მფლობელის მონაცემი 22/09/2026 — ხელშეკრულების ნომერი დასადასტურებელია / owner-reported 22 Sep 2026; the contract reference still needs confirming</s:t>
        </s:is>
      </s:c>
    </s:row>
    <s:row r="39">
      <s:c r="A39" s="17" t="inlineStr">
        <s:is>
          <s:t>ჯამი / Total contracted</s:t>
        </s:is>
      </s:c>
      <s:c r="B39" s="36">
        <s:f>B37+B38</s:f>
        <s:v>135000.0</s:v>
      </s:c>
      <s:c r="C39" s="35">
        <s:f>Assumptions!$B$28</s:f>
        <s:v>2.6384</s:v>
      </s:c>
      <s:c r="D39" s="18">
        <s:f>B39*Assumptions!$B$28</s:f>
        <s:v>356184.0</s:v>
      </s:c>
    </s:row>
    <s:row r="40">
      <s:c r="A40" s="20" t="inlineStr">
        <s:is>
          <s:t>გადახდილი ავანსი / Advances paid</s:t>
        </s:is>
      </s:c>
      <s:c r="B40" s="37">
        <s:f>22000+5000+40000+2900/Assumptions!$B$28</s:f>
        <s:v>68099.15100060643</s:v>
      </s:c>
      <s:c r="C40" s="38">
        <s:f>IFERROR(D40/B40,0)</s:f>
        <s:v>2.6218359168443968</s:v>
      </s:c>
      <s:c r="D40" s="30">
        <s:f>Actuals!B68</s:f>
        <s:v>178544.8</s:v>
      </s:c>
      <s:c r="G40" s="2" t="inlineStr">
        <s:is>
          <s:t>09/07 — 22,000 $ · 04/08 — 5,000 $ · 14/09 — 2,900 ₾ ≈ 1,099 $ (ერ.კ. 2.6384) · 19/09 — 40,000 $ ერ.კ. 2.6125 · ყველა N1-ზე / all against N1</s:t>
        </s:is>
      </s:c>
    </s:row>
    <s:row r="41">
      <s:c r="A41" s="26" t="inlineStr">
        <s:is>
          <s:t>დარჩენილი გადასახდელი / Outstanding</s:t>
        </s:is>
      </s:c>
      <s:c r="B41" s="39">
        <s:f>B39-B40</s:f>
        <s:v>66900.84899939357</s:v>
      </s:c>
      <s:c r="C41" s="40">
        <s:f>Assumptions!$B$28</s:f>
        <s:v>2.6384</s:v>
      </s:c>
      <s:c r="D41" s="27">
        <s:f>B41*Assumptions!$B$28</s:f>
        <s:v>176511.19999999998</s:v>
      </s:c>
    </s:row>
    <s:row r="42">
      <s:c r="A42" s="17" t="inlineStr">
        <s:is>
          <s:t>შესრულების წილი / Share of the contracted work paid</s:t>
        </s:is>
      </s:c>
      <s:c r="B42" s="19">
        <s:f>IFERROR(B40/B39,0)</s:f>
        <s:v>0.5044381555600477</s:v>
      </s:c>
    </s:row>
    <s:row r="44">
      <s:c r="A44" s="10" t="inlineStr">
        <s:is>
          <s:t>5. კაპიტალური თუ საოპერაციო / CAPITAL OR OPERATING</s:t>
        </s:is>
      </s:c>
      <s:c r="B44" s="11" t="n"/>
      <s:c r="C44" s="11" t="n"/>
      <s:c r="D44" s="11" t="n"/>
      <s:c r="E44" s="11" t="n"/>
      <s:c r="F44" s="11" t="n"/>
    </s:row>
    <s:row r="45">
      <s:c r="A45" s="17" t="inlineStr">
        <s:is>
          <s:t>კაპიტალიზებული / Capitalised (CAPEX)</s:t>
        </s:is>
      </s:c>
      <s:c r="B45" s="41">
        <s:f>SUMIF($D$16:$D$25,"CAPEX",$B$16:$B$25)</s:f>
        <s:v>192701.99</s:v>
      </s:c>
      <s:c r="C45" s="19">
        <s:f>IFERROR(B45/$B$26,0)</s:f>
        <s:v>0.9164866687047624</s:v>
      </s:c>
      <s:c r="G45" s="2" t="inlineStr">
        <s:is>
          <s:t>სათბურის ღირებულებაში / into the cost of the greenhouse</s:t>
        </s:is>
      </s:c>
    </s:row>
    <s:row r="46">
      <s:c r="A46" s="17" t="inlineStr">
        <s:is>
          <s:t>პრე-საოპერაციო ხარჯი / Pre-operating running costs</s:t>
        </s:is>
      </s:c>
      <s:c r="B46" s="41">
        <s:f>SUMIF($D$16:$D$25,"OPEX",$B$16:$B$25)</s:f>
        <s:v>17559.65</s:v>
      </s:c>
      <s:c r="C46" s="19">
        <s:f>IFERROR(B46/$B$26,0)</s:f>
        <s:v>0.0835133312952377</s:v>
      </s:c>
      <s:c r="G46" s="2" t="inlineStr">
        <s:is>
          <s:t>ხელფასი, გადასახადები, მომსახურება მოსავლამდე / wages, taxes and services before the first crop</s:t>
        </s:is>
      </s:c>
    </s:row>
    <s:row r="47">
      <s:c r="A47" s="17" t="inlineStr">
        <s:is>
          <s:t>შემოწმება / Check (must be 0)</s:t>
        </s:is>
      </s:c>
      <s:c r="B47" s="42">
        <s:f>B45+B46-B26</s:f>
        <s:v>0.0</s:v>
      </s:c>
    </s:row>
    <s:row r="49">
      <s:c r="A49" s="4" t="inlineStr">
        <s:is>
          <s:t>· ბიუჯეტი კრედიტის თანხაა (Assumptions!B27). ხარჯი — ბანკის ამონაწერიდან, ცვლილება Actuals-ზე ხდება.</s:t>
        </s:is>
      </s:c>
    </s:row>
    <s:row r="50">
      <s:c r="A50" s="4" t="inlineStr">
        <s:is>
          <s:t>· კრედიტი ტრანშებად გაიცემა, ამიტომ ამონაწერში ერთიანი ჩარიცხვა არ ჩანს.</s:t>
        </s:is>
      </s:c>
    </s:row>
    <s:row r="51">
      <s:c r="A51" s="4" t="inlineStr">
        <s:is>
          <s:t>· ეს ფურცელი მშენებლობის ფაზაა; CF_Monthly და Annual პირველ სრულ საოპერაციო წელს ასახავს.</s:t>
        </s:is>
      </s:c>
    </s:row>
    <s:row r="52">
      <s:c r="A52" s="2" t="inlineStr">
        <s:is>
          <s:t>· The budget is the credit amount; the spend comes from the bank statement — edit it on Actuals.</s:t>
        </s:is>
      </s:c>
    </s:row>
    <s:row r="53">
      <s:c r="A53" s="2" t="inlineStr">
        <s:is>
          <s:t>· The credit is drawn in tranches, so no single disbursement shows in the statement.</s:t>
        </s:is>
      </s:c>
    </s:row>
    <s:row r="54">
      <s:c r="A54" s="2" t="inlineStr">
        <s:is>
          <s:t>· This sheet is the construction phase; CF_Monthly and Annual are the first full operating year.</s:t>
        </s:is>
      </s:c>
    </s:row>
  </s:sheetData>
  <s:pageMargins left="0.75" right="0.75" top="1" bottom="1" header="0.5" footer="0.5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59"/>
  <s:sheetViews>
    <s:sheetView showGridLines="0" workbookViewId="0">
      <s:selection activeCell="A1" sqref="A1"/>
    </s:sheetView>
  </s:sheetViews>
  <s:sheetFormatPr baseColWidth="8" defaultRowHeight="15"/>
  <s:cols>
    <s:col width="58" customWidth="1" min="1" max="1"/>
    <s:col width="16" customWidth="1" min="2" max="2"/>
    <s:col width="12" customWidth="1" min="3" max="3"/>
    <s:col width="60" customWidth="1" min="4" max="4"/>
  </s:cols>
  <s:sheetData>
    <s:row r="1">
      <s:c r="A1" s="1" t="inlineStr">
        <s:is>
          <s:t>დაშვებები / ASSUMPTIONS</s:t>
        </s:is>
      </s:c>
    </s:row>
    <s:row r="2">
      <s:c r="A2" s="2" t="inlineStr">
        <s:is>
          <s:t>შეცვალეთ მხოლოდ ლურჯი/ყვითელი უჯრები / Edit blue &amp; yellow cells only</s:t>
        </s:is>
      </s:c>
    </s:row>
    <s:row r="4">
      <s:c r="A4" s="12" t="inlineStr">
        <s:is>
          <s:t>მაჩვენებელი / Item</s:t>
        </s:is>
      </s:c>
      <s:c r="B4" s="12" t="inlineStr">
        <s:is>
          <s:t>მნიშვნელობა / Value</s:t>
        </s:is>
      </s:c>
      <s:c r="C4" s="12" t="inlineStr">
        <s:is>
          <s:t>ერთეული / Unit</s:t>
        </s:is>
      </s:c>
      <s:c r="D4" s="12" t="inlineStr">
        <s:is>
          <s:t>კომენტარი / Comment</s:t>
        </s:is>
      </s:c>
    </s:row>
    <s:row r="5">
      <s:c r="A5" s="10" t="inlineStr">
        <s:is>
          <s:t>1. ობიექტი / FACILITY</s:t>
        </s:is>
      </s:c>
      <s:c r="B5" s="11" t="n"/>
      <s:c r="C5" s="11" t="n"/>
      <s:c r="D5" s="11" t="n"/>
    </s:row>
    <s:row r="6">
      <s:c r="A6" s="20" t="inlineStr">
        <s:is>
          <s:t>სათბურის ფართობი / Greenhouse area</s:t>
        </s:is>
      </s:c>
      <s:c r="B6" s="43" t="n">
        <s:v>2000</s:v>
      </s:c>
      <s:c r="C6" s="44" t="inlineStr">
        <s:is>
          <s:t>m²</s:t>
        </s:is>
      </s:c>
      <s:c r="D6" s="45" t="inlineStr">
        <s:is>
          <s:t>მომხმარებლის მონაცემი / Given</s:t>
        </s:is>
      </s:c>
    </s:row>
    <s:row r="7">
      <s:c r="A7" s="20" t="inlineStr">
        <s:is>
          <s:t>მოსავლის ციკლები წელიწადში / Harvest cycles per year</s:t>
        </s:is>
      </s:c>
      <s:c r="B7" s="46" t="n">
        <s:v>2</s:v>
      </s:c>
      <s:c r="C7" s="44" t="inlineStr">
        <s:is>
          <s:t>cycles</s:t>
        </s:is>
      </s:c>
      <s:c r="D7" s="45" t="inlineStr">
        <s:is>
          <s:t>ზამთარი + ზაფხული / Winter + summer</s:t>
        </s:is>
      </s:c>
    </s:row>
    <s:row r="9">
      <s:c r="A9" s="10" t="inlineStr">
        <s:is>
          <s:t>2. მოსავალი და ფასი / YIELD &amp; PRICE</s:t>
        </s:is>
      </s:c>
      <s:c r="B9" s="11" t="n"/>
      <s:c r="C9" s="11" t="n"/>
      <s:c r="D9" s="11" t="n"/>
    </s:row>
    <s:row r="10">
      <s:c r="A10" s="20" t="inlineStr">
        <s:is>
          <s:t>ზამთრის მოსავალი / Winter harvest</s:t>
        </s:is>
      </s:c>
      <s:c r="B10" s="47" t="n">
        <s:v>85</s:v>
      </s:c>
      <s:c r="C10" s="44" t="inlineStr">
        <s:is>
          <s:t>tons</s:t>
        </s:is>
      </s:c>
      <s:c r="D10" s="45" t="inlineStr">
        <s:is>
          <s:t>მითითებული დიაპაზონი 80–90 / Stated range 80–90; midpoint used</s:t>
        </s:is>
      </s:c>
    </s:row>
    <s:row r="11">
      <s:c r="A11" s="20" t="inlineStr">
        <s:is>
          <s:t xml:space="preserve">  ზამთრის მოსავალი / Winter harvest (kg)</s:t>
        </s:is>
      </s:c>
      <s:c r="B11" s="21">
        <s:f>B10*1000</s:f>
        <s:v>85000.0</s:v>
      </s:c>
      <s:c r="C11" s="44" t="inlineStr">
        <s:is>
          <s:t>kg</s:t>
        </s:is>
      </s:c>
      <s:c r="D11" s="45" t="inlineStr">
        <s:is>
          <s:t>ავტომატური / Calculated</s:t>
        </s:is>
      </s:c>
    </s:row>
    <s:row r="12">
      <s:c r="A12" s="20" t="inlineStr">
        <s:is>
          <s:t xml:space="preserve">  ზამთრის მოსავლიანობა / Winter yield per m²</s:t>
        </s:is>
      </s:c>
      <s:c r="B12" s="48">
        <s:f>B11/B6</s:f>
        <s:v>42.5</s:v>
      </s:c>
      <s:c r="C12" s="44" t="inlineStr">
        <s:is>
          <s:t>kg/m²</s:t>
        </s:is>
      </s:c>
      <s:c r="D12" s="45" t="inlineStr">
        <s:is>
          <s:t>ავტომატური / Calculated</s:t>
        </s:is>
      </s:c>
    </s:row>
    <s:row r="13">
      <s:c r="A13" s="20" t="inlineStr">
        <s:is>
          <s:t>ზამთრის ფასი / Winter selling price</s:t>
        </s:is>
      </s:c>
      <s:c r="B13" s="49" t="n">
        <s:v>4.5</s:v>
      </s:c>
      <s:c r="C13" s="44" t="inlineStr">
        <s:is>
          <s:t>GEL/kg</s:t>
        </s:is>
      </s:c>
      <s:c r="D13" s="45" t="inlineStr">
        <s:is>
          <s:t>მომხმარებლის მონაცემი / Given</s:t>
        </s:is>
      </s:c>
    </s:row>
    <s:row r="14">
      <s:c r="A14" s="20" t="inlineStr">
        <s:is>
          <s:t>ზაფხულის მოსავალი / Summer harvest</s:t>
        </s:is>
      </s:c>
      <s:c r="B14" s="47" t="n">
        <s:v>70</s:v>
      </s:c>
      <s:c r="C14" s="44" t="inlineStr">
        <s:is>
          <s:t>tons</s:t>
        </s:is>
      </s:c>
      <s:c r="D14" s="45" t="inlineStr">
        <s:is>
          <s:t>მომხმარებლის მონაცემი / Given</s:t>
        </s:is>
      </s:c>
    </s:row>
    <s:row r="15">
      <s:c r="A15" s="20" t="inlineStr">
        <s:is>
          <s:t xml:space="preserve">  ზაფხულის მოსავალი / Summer harvest (kg)</s:t>
        </s:is>
      </s:c>
      <s:c r="B15" s="21">
        <s:f>B14*1000</s:f>
        <s:v>70000.0</s:v>
      </s:c>
      <s:c r="C15" s="44" t="inlineStr">
        <s:is>
          <s:t>kg</s:t>
        </s:is>
      </s:c>
      <s:c r="D15" s="45" t="inlineStr">
        <s:is>
          <s:t>ავტომატური / Calculated</s:t>
        </s:is>
      </s:c>
    </s:row>
    <s:row r="16">
      <s:c r="A16" s="20" t="inlineStr">
        <s:is>
          <s:t xml:space="preserve">  ზაფხულის მოსავლიანობა / Summer yield per m²</s:t>
        </s:is>
      </s:c>
      <s:c r="B16" s="48">
        <s:f>B15/B6</s:f>
        <s:v>35.0</s:v>
      </s:c>
      <s:c r="C16" s="44" t="inlineStr">
        <s:is>
          <s:t>kg/m²</s:t>
        </s:is>
      </s:c>
      <s:c r="D16" s="45" t="inlineStr">
        <s:is>
          <s:t>ავტომატური / Calculated</s:t>
        </s:is>
      </s:c>
    </s:row>
    <s:row r="17">
      <s:c r="A17" s="20" t="inlineStr">
        <s:is>
          <s:t>ზაფხულის ფასი / Summer selling price</s:t>
        </s:is>
      </s:c>
      <s:c r="B17" s="49" t="n">
        <s:v>3</s:v>
      </s:c>
      <s:c r="C17" s="44" t="inlineStr">
        <s:is>
          <s:t>GEL/kg</s:t>
        </s:is>
      </s:c>
      <s:c r="D17" s="45" t="inlineStr">
        <s:is>
          <s:t>მომხმარებლის მონაცემი / Given</s:t>
        </s:is>
      </s:c>
    </s:row>
    <s:row r="18">
      <s:c r="A18" s="17" t="inlineStr">
        <s:is>
          <s:t>სულ მოსავალი / Total annual harvest</s:t>
        </s:is>
      </s:c>
      <s:c r="B18" s="50">
        <s:f>B10+B14</s:f>
        <s:v>155.0</s:v>
      </s:c>
      <s:c r="C18" s="44" t="inlineStr">
        <s:is>
          <s:t>tons</s:t>
        </s:is>
      </s:c>
      <s:c r="D18" s="45" t="inlineStr">
        <s:is>
          <s:t>ავტომატური / Calculated</s:t>
        </s:is>
      </s:c>
    </s:row>
    <s:row r="19">
      <s:c r="A19" s="17" t="inlineStr">
        <s:is>
          <s:t>საშუალო შეწონილი ფასი / Blended average price</s:t>
        </s:is>
      </s:c>
      <s:c r="B19" s="41">
        <s:f>(B11*B13+B15*B17)/(B11+B15)</s:f>
        <s:v>3.8225806451612905</s:v>
      </s:c>
      <s:c r="C19" s="44" t="inlineStr">
        <s:is>
          <s:t>GEL/kg</s:t>
        </s:is>
      </s:c>
      <s:c r="D19" s="45" t="inlineStr">
        <s:is>
          <s:t>ავტომატური / Calculated</s:t>
        </s:is>
      </s:c>
    </s:row>
    <s:row r="21">
      <s:c r="A21" s="10" t="inlineStr">
        <s:is>
          <s:t>3. საოპერაციო ხარჯი / OPERATING EXPENSES</s:t>
        </s:is>
      </s:c>
      <s:c r="B21" s="11" t="n"/>
      <s:c r="C21" s="11" t="n"/>
      <s:c r="D21" s="11" t="n"/>
    </s:row>
    <s:row r="22">
      <s:c r="A22" s="20" t="inlineStr">
        <s:is>
          <s:t>წლიური OPEX (მითითებული) / Annual OPEX as stated</s:t>
        </s:is>
      </s:c>
      <s:c r="B22" s="51" t="n">
        <s:v>150000</s:v>
      </s:c>
      <s:c r="C22" s="44" t="inlineStr">
        <s:is>
          <s:t>GEL</s:t>
        </s:is>
      </s:c>
      <s:c r="D22" s="45" t="inlineStr">
        <s:is>
          <s:t>მომხმარებლის მონაცემი / Given</s:t>
        </s:is>
      </s:c>
    </s:row>
    <s:row r="23">
      <s:c r="A23" s="20" t="inlineStr">
        <s:is>
          <s:t>OPEX ფურცლის ჯამი / Total from OPEX sheet</s:t>
        </s:is>
      </s:c>
      <s:c r="B23" s="52">
        <s:f>OPEX!B14</s:f>
        <s:v>150000.0</s:v>
      </s:c>
      <s:c r="C23" s="44" t="inlineStr">
        <s:is>
          <s:t>GEL</s:t>
        </s:is>
      </s:c>
      <s:c r="D23" s="45" t="inlineStr">
        <s:is>
          <s:t>8 კატეგორიის ჯამი / Sum of the 8 categories</s:t>
        </s:is>
      </s:c>
    </s:row>
    <s:row r="24">
      <s:c r="A24" s="20" t="inlineStr">
        <s:is>
          <s:t>შედარება / Check (must be 0)</s:t>
        </s:is>
      </s:c>
      <s:c r="B24" s="18">
        <s:f>B23-B22</s:f>
        <s:v>0.0</s:v>
      </s:c>
      <s:c r="C24" s="44" t="inlineStr">
        <s:is>
          <s:t>GEL</s:t>
        </s:is>
      </s:c>
      <s:c r="D24" s="45" t="inlineStr">
        <s:is>
          <s:t>თუ ≠ 0, გაასწორეთ OPEX კატეგორიები / If ≠ 0, adjust the OPEX categories</s:t>
        </s:is>
      </s:c>
    </s:row>
    <s:row r="26">
      <s:c r="A26" s="10" t="inlineStr">
        <s:is>
          <s:t>4. საბანკო სესხი — სს „ბანკი ქართუ" / BANK LOAN — CARTU BANK</s:t>
        </s:is>
      </s:c>
      <s:c r="B26" s="11" t="n"/>
      <s:c r="C26" s="11" t="n"/>
      <s:c r="D26" s="11" t="n"/>
    </s:row>
    <s:row r="27">
      <s:c r="A27" s="20" t="inlineStr">
        <s:is>
          <s:t>კრედიტის თანხა / Credit amount</s:t>
        </s:is>
      </s:c>
      <s:c r="B27" s="53" t="n">
        <s:v>625000</s:v>
      </s:c>
      <s:c r="C27" s="44" t="inlineStr">
        <s:is>
          <s:t>GEL</s:t>
        </s:is>
      </s:c>
      <s:c r="D27" s="45" t="inlineStr">
        <s:is>
          <s:t>ხელშეკრულება GA/1-876787–001, პუნქტი 3.11 / contract clause 3.11</s:t>
        </s:is>
      </s:c>
    </s:row>
    <s:row r="28">
      <s:c r="A28" s="20" t="inlineStr">
        <s:is>
          <s:t>გაცვლითი კურსი / FX rate</s:t>
        </s:is>
      </s:c>
      <s:c r="B28" s="54" t="n">
        <s:v>2.6384</s:v>
      </s:c>
      <s:c r="C28" s="44" t="inlineStr">
        <s:is>
          <s:t>GEL/USD</s:t>
        </s:is>
      </s:c>
      <s:c r="D28" s="45" t="inlineStr">
        <s:is>
          <s:t>ფაქტი 09/07/2026 გადარიცხვიდან, USD ხელშეკრულებებისთვის / actual, used for the USD contracts</s:t>
        </s:is>
      </s:c>
    </s:row>
    <s:row r="29">
      <s:c r="A29" s="17" t="inlineStr">
        <s:is>
          <s:t>მოდელში გამოყენებული ძირი / Principal used in the model (GEL)</s:t>
        </s:is>
      </s:c>
      <s:c r="B29" s="18">
        <s:f>B27</s:f>
        <s:v>625000.0</s:v>
      </s:c>
      <s:c r="C29" s="44" t="inlineStr">
        <s:is>
          <s:t>GEL</s:t>
        </s:is>
      </s:c>
      <s:c r="D29" s="45" t="inlineStr">
        <s:is>
          <s:t>სრულად ათვისებულად ითვლება / assumed fully drawn</s:t>
        </s:is>
      </s:c>
    </s:row>
    <s:row r="30">
      <s:c r="A30" s="20" t="inlineStr">
        <s:is>
          <s:t>წლიური საპროცენტო განაკვეთი / Annual interest rate</s:t>
        </s:is>
      </s:c>
      <s:c r="B30" s="55" t="n">
        <s:v>0.1264</s:v>
      </s:c>
      <s:c r="C30" s="44" t="inlineStr">
        <s:is>
          <s:t>%</s:t>
        </s:is>
      </s:c>
      <s:c r="D30" s="45" t="inlineStr">
        <s:is>
          <s:t>12.64% 17/06/2028-მდე; შემდეგ რეფინანსირება + 5.14%, min 10%, max 18% / 12.64% to 17/06/2028, indexed after</s:t>
        </s:is>
      </s:c>
    </s:row>
    <s:row r="31">
      <s:c r="A31" s="20" t="inlineStr">
        <s:is>
          <s:t>ვადა / Term</s:t>
        </s:is>
      </s:c>
      <s:c r="B31" s="46" t="n">
        <s:v>120</s:v>
      </s:c>
      <s:c r="C31" s="44" t="inlineStr">
        <s:is>
          <s:t>months</s:t>
        </s:is>
      </s:c>
      <s:c r="D31" s="45" t="inlineStr">
        <s:is>
          <s:t>17/06/2026 – 17/06/2036 (პუნქტი 3.9) / clause 3.9</s:t>
        </s:is>
      </s:c>
    </s:row>
    <s:row r="32">
      <s:c r="A32" s="20" t="inlineStr">
        <s:is>
          <s:t>საშეღავათო პერიოდი / Grace period, no payments</s:t>
        </s:is>
      </s:c>
      <s:c r="B32" s="46" t="n">
        <s:v>12</s:v>
      </s:c>
      <s:c r="C32" s="44" t="inlineStr">
        <s:is>
          <s:t>months</s:t>
        </s:is>
      </s:c>
      <s:c r="D32" s="45" t="inlineStr">
        <s:is>
          <s:t>დანართი #1: თვე 1–12 გადახდის გარეშე / Annex 1: months 1–12 pay nothing</s:t>
        </s:is>
      </s:c>
    </s:row>
    <s:row r="33">
      <s:c r="A33" s="17" t="inlineStr">
        <s:is>
          <s:t>ყოველთვიური ანუიტეტი / Monthly annuity</s:t>
        </s:is>
      </s:c>
      <s:c r="B33" s="18">
        <s:f>PMT(B30/12,B31-B32-1,-B29)</s:f>
        <s:v>9766.072742502936</s:v>
      </s:c>
      <s:c r="C33" s="44" t="inlineStr">
        <s:is>
          <s:t>GEL</s:t>
        </s:is>
      </s:c>
      <s:c r="D33" s="45" t="inlineStr">
        <s:is>
          <s:t>107 შენატანი მე-14 თვიდან / 107 instalments from month 14</s:t>
        </s:is>
      </s:c>
    </s:row>
    <s:row r="34">
      <s:c r="A34" s="20" t="inlineStr">
        <s:is>
          <s:t>სააგენტოს თანადაფინანსება / Agency co-financing rate</s:t>
        </s:is>
      </s:c>
      <s:c r="B34" s="55" t="n">
        <s:v>0.11</s:v>
      </s:c>
      <s:c r="C34" s="44" t="inlineStr">
        <s:is>
          <s:t>%</s:t>
        </s:is>
      </s:c>
      <s:c r="D34" s="45" t="inlineStr">
        <s:is>
          <s:t>სოფლის განვითარების სააგენტო — ძირის 11% წლიურად (პუნქტი 3.5) / Rural Development Agency, clause 3.5</s:t>
        </s:is>
      </s:c>
    </s:row>
    <s:row r="35">
      <s:c r="A35" s="20" t="inlineStr">
        <s:is>
          <s:t>თანადაფინანსების ვადა / Co-financing period</s:t>
        </s:is>
      </s:c>
      <s:c r="B35" s="46" t="n">
        <s:v>48</s:v>
      </s:c>
      <s:c r="C35" s="44" t="inlineStr">
        <s:is>
          <s:t>months</s:t>
        </s:is>
      </s:c>
      <s:c r="D35" s="45" t="inlineStr">
        <s:is>
          <s:t>არაუმეტეს 48 თვისა (პუნქტი 3.5) / up to 48 months, clause 3.5</s:t>
        </s:is>
      </s:c>
    </s:row>
    <s:row r="36">
      <s:c r="A36" s="20" t="inlineStr">
        <s:is>
          <s:t>განაკვეთი 17/06/2028-ის შემდეგ / Rate after 17/06/2028</s:t>
        </s:is>
      </s:c>
      <s:c r="B36" s="55" t="n">
        <s:v>0.134</s:v>
      </s:c>
      <s:c r="C36" s="44" t="inlineStr">
        <s:is>
          <s:t>%</s:t>
        </s:is>
      </s:c>
      <s:c r="D36" s="45" t="inlineStr">
        <s:is>
          <s:t>რეფინანსირება 8.26% + მარჟა 5.14%; ბანკის დანართ #1-იდან ნაგულისხმევი / implied by the bank's Annex 1: refinancing 8.26% + 5.14% margin</s:t>
        </s:is>
      </s:c>
    </s:row>
    <s:row r="37">
      <s:c r="A37" s="20" t="inlineStr">
        <s:is>
          <s:t>თვე, საიდანაც მოქმედებს მე-2 განაკვეთი / Month the second rate starts</s:t>
        </s:is>
      </s:c>
      <s:c r="B37" s="46" t="n">
        <s:v>24</s:v>
      </s:c>
      <s:c r="C37" s="44" t="inlineStr">
        <s:is>
          <s:t>month</s:t>
        </s:is>
      </s:c>
      <s:c r="D37" s="45" t="inlineStr">
        <s:is>
          <s:t>19/06/2028, გრაფიკის 24-ე შენატანი / instalment 24, 19/06/2028</s:t>
        </s:is>
      </s:c>
    </s:row>
    <s:row r="38">
      <s:c r="A38" s="10" t="inlineStr">
        <s:is>
          <s:t>5. ზრდა და ინფლაცია (წლები 2–5) / GROWTH &amp; INFLATION (YEARS 2–5)</s:t>
        </s:is>
      </s:c>
      <s:c r="B38" s="11" t="n"/>
      <s:c r="C38" s="11" t="n"/>
      <s:c r="D38" s="11" t="n"/>
    </s:row>
    <s:row r="39">
      <s:c r="A39" s="20" t="inlineStr">
        <s:is>
          <s:t>მოსავლის ზრდა / Yield growth p.a.</s:t>
        </s:is>
      </s:c>
      <s:c r="B39" s="56" t="n">
        <s:v>0.02</s:v>
      </s:c>
      <s:c r="C39" s="44" t="inlineStr">
        <s:is>
          <s:t>%</s:t>
        </s:is>
      </s:c>
      <s:c r="D39" s="45" t="inlineStr">
        <s:is>
          <s:t>მოდელის დაშვება / Model assumption</s:t>
        </s:is>
      </s:c>
    </s:row>
    <s:row r="40">
      <s:c r="A40" s="20" t="inlineStr">
        <s:is>
          <s:t>ფასის ზრდა / Price growth p.a.</s:t>
        </s:is>
      </s:c>
      <s:c r="B40" s="56" t="n">
        <s:v>0.03</s:v>
      </s:c>
      <s:c r="C40" s="44" t="inlineStr">
        <s:is>
          <s:t>%</s:t>
        </s:is>
      </s:c>
      <s:c r="D40" s="45" t="inlineStr">
        <s:is>
          <s:t>მოდელის დაშვება / Model assumption</s:t>
        </s:is>
      </s:c>
    </s:row>
    <s:row r="41">
      <s:c r="A41" s="20" t="inlineStr">
        <s:is>
          <s:t>OPEX ინფლაცია / OPEX inflation p.a.</s:t>
        </s:is>
      </s:c>
      <s:c r="B41" s="56" t="n">
        <s:v>0.04</s:v>
      </s:c>
      <s:c r="C41" s="44" t="inlineStr">
        <s:is>
          <s:t>%</s:t>
        </s:is>
      </s:c>
      <s:c r="D41" s="45" t="inlineStr">
        <s:is>
          <s:t>მოდელის დაშვება / Model assumption</s:t>
        </s:is>
      </s:c>
    </s:row>
    <s:row r="43">
      <s:c r="A43" s="10" t="inlineStr">
        <s:is>
          <s:t>6. სხვა / OTHER</s:t>
        </s:is>
      </s:c>
      <s:c r="B43" s="11" t="n"/>
      <s:c r="C43" s="11" t="n"/>
      <s:c r="D43" s="11" t="n"/>
    </s:row>
    <s:row r="44">
      <s:c r="A44" s="20" t="inlineStr">
        <s:is>
          <s:t>მოგების გადასახადი / Profit tax rate applied</s:t>
        </s:is>
      </s:c>
      <s:c r="B44" s="55" t="n">
        <s:v>0</s:v>
      </s:c>
      <s:c r="C44" s="44" t="inlineStr">
        <s:is>
          <s:t>%</s:t>
        </s:is>
      </s:c>
      <s:c r="D44" s="45" t="inlineStr">
        <s:is>
          <s:t>0% ნაგულისხმევად — იხ. Instructions / 0% by default</s:t>
        </s:is>
      </s:c>
    </s:row>
    <s:row r="45">
      <s:c r="A45" s="20" t="inlineStr">
        <s:is>
          <s:t>საწყისი ფულადი ნაშთი / Opening cash balance</s:t>
        </s:is>
      </s:c>
      <s:c r="B45" s="57" t="n">
        <s:v>0</s:v>
      </s:c>
      <s:c r="C45" s="44" t="inlineStr">
        <s:is>
          <s:t>GEL</s:t>
        </s:is>
      </s:c>
      <s:c r="D45" s="45" t="inlineStr">
        <s:is>
          <s:t>საოპერაციო წელი 1-ის დასაწყისი / start of operating Year 1</s:t>
        </s:is>
      </s:c>
    </s:row>
    <s:row r="46">
      <s:c r="A46" s="20" t="inlineStr">
        <s:is>
          <s:t>კრედიტის ათვისება წელი 1-ში? / Credit drawn in Year 1? (1=yes, 0=no)</s:t>
        </s:is>
      </s:c>
      <s:c r="B46" s="46" t="n">
        <s:v>0</s:v>
      </s:c>
      <s:c r="C46" s="44" t="inlineStr">
        <s:is>
          <s:t>1/0</s:t>
        </s:is>
      </s:c>
      <s:c r="D46" s="45" t="inlineStr">
        <s:is>
          <s:t>0 = უკვე ათვისებული / 0 = already drawn</s:t>
        </s:is>
      </s:c>
    </s:row>
    <s:row r="47">
      <s:c r="A47" s="20" t="inlineStr">
        <s:is>
          <s:t>კაპიტალური ხარჯი წელი 1 / CAPEX in Year 1</s:t>
        </s:is>
      </s:c>
      <s:c r="B47" s="21">
        <s:f>B46*B29</s:f>
        <s:v>0.0</s:v>
      </s:c>
      <s:c r="C47" s="44" t="inlineStr">
        <s:is>
          <s:t>GEL</s:t>
        </s:is>
      </s:c>
      <s:c r="D47" s="45" t="inlineStr">
        <s:is>
          <s:t>ტოლი ათვისებული კრედიტისა / equals the drawdown, net zero</s:t>
        </s:is>
      </s:c>
    </s:row>
    <s:row r="48">
      <s:c r="A48" s="20" t="inlineStr">
        <s:is>
          <s:t>სესხის წელი = საოპერაციო წელი 1 / Loan year mapped to operating Year 1</s:t>
        </s:is>
      </s:c>
      <s:c r="B48" s="58" t="n">
        <s:v>2</s:v>
      </s:c>
      <s:c r="C48" s="44" t="inlineStr">
        <s:is>
          <s:t>yr</s:t>
        </s:is>
      </s:c>
      <s:c r="D48" s="45" t="inlineStr">
        <s:is>
          <s:t>სესხის მე-2 წელი = 07/2027–06/2028, ამორტიზაციის პირველი წელი / loan year 2 = Jul 2027 – Jun 2028</s:t>
        </s:is>
      </s:c>
    </s:row>
    <s:row r="50">
      <s:c r="A50" s="10" t="inlineStr">
        <s:is>
          <s:t>შედეგები / KEY OUTPUTS (operating Year 1)</s:t>
        </s:is>
      </s:c>
      <s:c r="B50" s="11" t="n"/>
      <s:c r="C50" s="11" t="n"/>
      <s:c r="D50" s="11" t="n"/>
    </s:row>
    <s:row r="51">
      <s:c r="A51" s="17" t="inlineStr">
        <s:is>
          <s:t>წლიური შემოსავალი / Annual revenue</s:t>
        </s:is>
      </s:c>
      <s:c r="B51" s="59">
        <s:f>CF_Monthly!N19</s:f>
        <s:v>592500.0</s:v>
      </s:c>
      <s:c r="C51" s="44" t="inlineStr">
        <s:is>
          <s:t>GEL</s:t>
        </s:is>
      </s:c>
      <s:c r="D51" s="45" t="inlineStr">
        <s:is>
          <s:t>სხვა ფურცლიდან / from another sheet</s:t>
        </s:is>
      </s:c>
    </s:row>
    <s:row r="52">
      <s:c r="A52" s="17" t="inlineStr">
        <s:is>
          <s:t>წლიური OPEX / Annual OPEX</s:t>
        </s:is>
      </s:c>
      <s:c r="B52" s="59">
        <s:f>CF_Monthly!N30</s:f>
        <s:v>150000.0</s:v>
      </s:c>
      <s:c r="C52" s="44" t="inlineStr">
        <s:is>
          <s:t>GEL</s:t>
        </s:is>
      </s:c>
      <s:c r="D52" s="45" t="inlineStr">
        <s:is>
          <s:t>სხვა ფურცლიდან / from another sheet</s:t>
        </s:is>
      </s:c>
    </s:row>
    <s:row r="53">
      <s:c r="A53" s="17" t="inlineStr">
        <s:is>
          <s:t>EBITDA</s:t>
        </s:is>
      </s:c>
      <s:c r="B53" s="59">
        <s:f>CF_Monthly!N32</s:f>
        <s:v>442500.0</s:v>
      </s:c>
      <s:c r="C53" s="44" t="inlineStr">
        <s:is>
          <s:t>GEL</s:t>
        </s:is>
      </s:c>
      <s:c r="D53" s="45" t="inlineStr">
        <s:is>
          <s:t>სხვა ფურცლიდან / from another sheet</s:t>
        </s:is>
      </s:c>
    </s:row>
    <s:row r="54">
      <s:c r="A54" s="17" t="inlineStr">
        <s:is>
          <s:t>EBITDA მარჟა / margin</s:t>
        </s:is>
      </s:c>
      <s:c r="B54" s="60">
        <s:f>IFERROR(B53/B51,0)</s:f>
        <s:v>0.7468354430379747</s:v>
      </s:c>
      <s:c r="C54" s="44" t="inlineStr"/>
      <s:c r="D54" s="45" t="inlineStr">
        <s:is>
          <s:t>სხვა ფურცლიდან / from another sheet</s:t>
        </s:is>
      </s:c>
    </s:row>
    <s:row r="55">
      <s:c r="A55" s="17" t="inlineStr">
        <s:is>
          <s:t>ვალის მომსახურება / Debt service</s:t>
        </s:is>
      </s:c>
      <s:c r="B55" s="59">
        <s:f>CF_Monthly!N36</s:f>
        <s:v>47168.730570487125</s:v>
      </s:c>
      <s:c r="C55" s="44" t="inlineStr">
        <s:is>
          <s:t>GEL</s:t>
        </s:is>
      </s:c>
      <s:c r="D55" s="45" t="inlineStr">
        <s:is>
          <s:t>სხვა ფურცლიდან / from another sheet</s:t>
        </s:is>
      </s:c>
    </s:row>
    <s:row r="56">
      <s:c r="A56" s="17" t="inlineStr">
        <s:is>
          <s:t>წმინდა ფულადი ნაკადი / Net cash flow</s:t>
        </s:is>
      </s:c>
      <s:c r="B56" s="59">
        <s:f>CF_Monthly!N43</s:f>
        <s:v>395331.2694295129</s:v>
      </s:c>
      <s:c r="C56" s="44" t="inlineStr">
        <s:is>
          <s:t>GEL</s:t>
        </s:is>
      </s:c>
      <s:c r="D56" s="45" t="inlineStr">
        <s:is>
          <s:t>სხვა ფურცლიდან / from another sheet</s:t>
        </s:is>
      </s:c>
    </s:row>
    <s:row r="57">
      <s:c r="A57" s="17" t="inlineStr">
        <s:is>
          <s:t>DSCR (EBITDA / ვალის მომსახურება)</s:t>
        </s:is>
      </s:c>
      <s:c r="B57" s="61">
        <s:f>IFERROR(B53/B55,0)</s:f>
        <s:v>9.381214941511837</s:v>
      </s:c>
      <s:c r="C57" s="44" t="inlineStr"/>
      <s:c r="D57" s="45" t="inlineStr">
        <s:is>
          <s:t>სხვა ფურცლიდან / from another sheet</s:t>
        </s:is>
      </s:c>
    </s:row>
    <s:row r="58">
      <s:c r="A58" s="17" t="inlineStr">
        <s:is>
          <s:t>პროექტში ჩადებული დღემდე / Project spend to date</s:t>
        </s:is>
      </s:c>
      <s:c r="B58" s="59">
        <s:f>Budget!B21</s:f>
        <s:v>-0.0</s:v>
      </s:c>
      <s:c r="C58" s="44" t="inlineStr">
        <s:is>
          <s:t>GEL</s:t>
        </s:is>
      </s:c>
      <s:c r="D58" s="45" t="inlineStr">
        <s:is>
          <s:t>სხვა ფურცლიდან / from another sheet</s:t>
        </s:is>
      </s:c>
    </s:row>
    <s:row r="59">
      <s:c r="A59" s="17" t="inlineStr">
        <s:is>
          <s:t>აქედან კაპიტალური / of which capitalised</s:t>
        </s:is>
      </s:c>
      <s:c r="B59" s="59">
        <s:f>Budget!B38</s:f>
        <s:v>10000.0</s:v>
      </s:c>
      <s:c r="C59" s="44" t="inlineStr">
        <s:is>
          <s:t>GEL</s:t>
        </s:is>
      </s:c>
      <s:c r="D59" s="45" t="inlineStr">
        <s:is>
          <s:t>სხვა ფურცლიდან / from another sheet</s:t>
        </s:is>
      </s:c>
    </s:row>
  </s:sheetData>
  <s:pageMargins left="0.75" right="0.75" top="1" bottom="1" header="0.5" footer="0.5"/>
  <s:legacyDrawing r:id="anysvml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1:O27"/>
  <s:sheetViews>
    <s:sheetView showGridLines="0" workbookViewId="0">
      <s:selection activeCell="A1" sqref="A1"/>
    </s:sheetView>
  </s:sheetViews>
  <s:sheetFormatPr baseColWidth="8" defaultRowHeight="15"/>
  <s:cols>
    <s:col width="46" customWidth="1" min="1" max="1"/>
    <s:col width="14" customWidth="1" min="2" max="2"/>
    <s:col width="9.5" customWidth="1" min="3" max="3"/>
    <s:col width="9.5" customWidth="1" min="4" max="4"/>
    <s:col width="9.5" customWidth="1" min="5" max="5"/>
    <s:col width="9.5" customWidth="1" min="6" max="6"/>
    <s:col width="9.5" customWidth="1" min="7" max="7"/>
    <s:col width="9.5" customWidth="1" min="8" max="8"/>
    <s:col width="9.5" customWidth="1" min="9" max="9"/>
    <s:col width="9.5" customWidth="1" min="10" max="10"/>
    <s:col width="9.5" customWidth="1" min="11" max="11"/>
    <s:col width="9.5" customWidth="1" min="12" max="12"/>
    <s:col width="9.5" customWidth="1" min="13" max="13"/>
    <s:col width="9.5" customWidth="1" min="14" max="14"/>
    <s:col width="11" customWidth="1" min="15" max="15"/>
  </s:cols>
  <s:sheetData>
    <s:row r="1">
      <s:c r="A1" s="1" t="inlineStr">
        <s:is>
          <s:t>საოპერაციო ხარჯები / OPERATING EXPENSES</s:t>
        </s:is>
      </s:c>
    </s:row>
    <s:row r="2">
      <s:c r="A2" s="2" t="inlineStr">
        <s:is>
          <s:t>სულ 150,000 GEL/წელი. კატეგორიების დაშლა და თვიური წილები მოდელის დაშვებაა — შეცვლადია. / 150,000 GEL total per year. The category split and monthly weights are model assumptions — editable.</s:t>
        </s:is>
      </s:c>
    </s:row>
    <s:row r="4">
      <s:c r="A4" s="10" t="inlineStr">
        <s:is>
          <s:t>ბლოკი 1 — წლიური თანხა და თვიური წილი (%) / BLOCK 1 — annual amount and monthly weight (%)</s:t>
        </s:is>
      </s:c>
      <s:c r="B4" s="11" t="n"/>
      <s:c r="C4" s="11" t="n"/>
      <s:c r="D4" s="11" t="n"/>
      <s:c r="E4" s="11" t="n"/>
      <s:c r="F4" s="11" t="n"/>
      <s:c r="G4" s="11" t="n"/>
      <s:c r="H4" s="11" t="n"/>
      <s:c r="I4" s="11" t="n"/>
      <s:c r="J4" s="11" t="n"/>
      <s:c r="K4" s="11" t="n"/>
      <s:c r="L4" s="11" t="n"/>
      <s:c r="M4" s="11" t="n"/>
      <s:c r="N4" s="11" t="n"/>
      <s:c r="O4" s="11" t="n"/>
    </s:row>
    <s:row r="5">
      <s:c r="A5" s="62" t="inlineStr">
        <s:is>
          <s:t>კატეგორია / Category</s:t>
        </s:is>
      </s:c>
      <s:c r="B5" s="12" t="inlineStr">
        <s:is>
          <s:t>წლიური GEL / Annual</s:t>
        </s:is>
      </s:c>
      <s:c r="C5" s="12" t="inlineStr">
        <s:is>
          <s:t>Jan / იან</s:t>
        </s:is>
      </s:c>
      <s:c r="D5" s="12" t="inlineStr">
        <s:is>
          <s:t>Feb / თებ</s:t>
        </s:is>
      </s:c>
      <s:c r="E5" s="12" t="inlineStr">
        <s:is>
          <s:t>Mar / მარ</s:t>
        </s:is>
      </s:c>
      <s:c r="F5" s="12" t="inlineStr">
        <s:is>
          <s:t>Apr / აპრ</s:t>
        </s:is>
      </s:c>
      <s:c r="G5" s="12" t="inlineStr">
        <s:is>
          <s:t>May / მაი</s:t>
        </s:is>
      </s:c>
      <s:c r="H5" s="12" t="inlineStr">
        <s:is>
          <s:t>Jun / ივნ</s:t>
        </s:is>
      </s:c>
      <s:c r="I5" s="12" t="inlineStr">
        <s:is>
          <s:t>Jul / ივლ</s:t>
        </s:is>
      </s:c>
      <s:c r="J5" s="12" t="inlineStr">
        <s:is>
          <s:t>Aug / აგვ</s:t>
        </s:is>
      </s:c>
      <s:c r="K5" s="12" t="inlineStr">
        <s:is>
          <s:t>Sep / სექ</s:t>
        </s:is>
      </s:c>
      <s:c r="L5" s="12" t="inlineStr">
        <s:is>
          <s:t>Oct / ოქტ</s:t>
        </s:is>
      </s:c>
      <s:c r="M5" s="12" t="inlineStr">
        <s:is>
          <s:t>Nov / ნოე</s:t>
        </s:is>
      </s:c>
      <s:c r="N5" s="12" t="inlineStr">
        <s:is>
          <s:t>Dec / დეკ</s:t>
        </s:is>
      </s:c>
      <s:c r="O5" s="12" t="inlineStr">
        <s:is>
          <s:t>ჯამი % / Check</s:t>
        </s:is>
      </s:c>
    </s:row>
    <s:row r="6">
      <s:c r="A6" s="20" t="inlineStr">
        <s:is>
          <s:t>ხელფასები / Labour &amp; wages</s:t>
        </s:is>
      </s:c>
      <s:c r="B6" s="57" t="n">
        <s:v>48000</s:v>
      </s:c>
      <s:c r="C6" s="63" t="n">
        <s:v>0.09</s:v>
      </s:c>
      <s:c r="D6" s="63" t="n">
        <s:v>0.09</s:v>
      </s:c>
      <s:c r="E6" s="63" t="n">
        <s:v>0.09</s:v>
      </s:c>
      <s:c r="F6" s="63" t="n">
        <s:v>0.08</s:v>
      </s:c>
      <s:c r="G6" s="63" t="n">
        <s:v>0.07000000000000001</s:v>
      </s:c>
      <s:c r="H6" s="63" t="n">
        <s:v>0.09</s:v>
      </s:c>
      <s:c r="I6" s="63" t="n">
        <s:v>0.09</s:v>
      </s:c>
      <s:c r="J6" s="63" t="n">
        <s:v>0.09</s:v>
      </s:c>
      <s:c r="K6" s="63" t="n">
        <s:v>0.08</s:v>
      </s:c>
      <s:c r="L6" s="63" t="n">
        <s:v>0.07000000000000001</s:v>
      </s:c>
      <s:c r="M6" s="63" t="n">
        <s:v>0.07000000000000001</s:v>
      </s:c>
      <s:c r="N6" s="63" t="n">
        <s:v>0.09</s:v>
      </s:c>
      <s:c r="O6" s="19">
        <s:f>SUM(C6:N6)</s:f>
        <s:v>0.9999999999999999</s:v>
      </s:c>
    </s:row>
    <s:row r="7">
      <s:c r="A7" s="20" t="inlineStr">
        <s:is>
          <s:t>გათბობა (გაზი/საწვავი) / Heating (gas &amp; fuel)</s:t>
        </s:is>
      </s:c>
      <s:c r="B7" s="57" t="n">
        <s:v>36000</s:v>
      </s:c>
      <s:c r="C7" s="63" t="n">
        <s:v>0.25</s:v>
      </s:c>
      <s:c r="D7" s="63" t="n">
        <s:v>0.22</s:v>
      </s:c>
      <s:c r="E7" s="63" t="n">
        <s:v>0.13</s:v>
      </s:c>
      <s:c r="F7" s="63" t="n">
        <s:v>0.03</s:v>
      </s:c>
      <s:c r="G7" s="63" t="n">
        <s:v>0</s:v>
      </s:c>
      <s:c r="H7" s="63" t="n">
        <s:v>0</s:v>
      </s:c>
      <s:c r="I7" s="63" t="n">
        <s:v>0</s:v>
      </s:c>
      <s:c r="J7" s="63" t="n">
        <s:v>0</s:v>
      </s:c>
      <s:c r="K7" s="63" t="n">
        <s:v>0</s:v>
      </s:c>
      <s:c r="L7" s="63" t="n">
        <s:v>0.04</s:v>
      </s:c>
      <s:c r="M7" s="63" t="n">
        <s:v>0.13</s:v>
      </s:c>
      <s:c r="N7" s="63" t="n">
        <s:v>0.2</s:v>
      </s:c>
      <s:c r="O7" s="19">
        <s:f>SUM(C7:N7)</s:f>
        <s:v>1.0</s:v>
      </s:c>
    </s:row>
    <s:row r="8">
      <s:c r="A8" s="20" t="inlineStr">
        <s:is>
          <s:t>ელექტროენერგია და წყალი / Electricity &amp; water</s:t>
        </s:is>
      </s:c>
      <s:c r="B8" s="57" t="n">
        <s:v>12000</s:v>
      </s:c>
      <s:c r="C8" s="63" t="n">
        <s:v>0.08</s:v>
      </s:c>
      <s:c r="D8" s="63" t="n">
        <s:v>0.08</s:v>
      </s:c>
      <s:c r="E8" s="63" t="n">
        <s:v>0.08</s:v>
      </s:c>
      <s:c r="F8" s="63" t="n">
        <s:v>0.08</s:v>
      </s:c>
      <s:c r="G8" s="63" t="n">
        <s:v>0.09</s:v>
      </s:c>
      <s:c r="H8" s="63" t="n">
        <s:v>0.1</s:v>
      </s:c>
      <s:c r="I8" s="63" t="n">
        <s:v>0.11</s:v>
      </s:c>
      <s:c r="J8" s="63" t="n">
        <s:v>0.11</s:v>
      </s:c>
      <s:c r="K8" s="63" t="n">
        <s:v>0.09</s:v>
      </s:c>
      <s:c r="L8" s="63" t="n">
        <s:v>0.06</s:v>
      </s:c>
      <s:c r="M8" s="63" t="n">
        <s:v>0.06</s:v>
      </s:c>
      <s:c r="N8" s="63" t="n">
        <s:v>0.06</s:v>
      </s:c>
      <s:c r="O8" s="19">
        <s:f>SUM(C8:N8)</s:f>
        <s:v>1.0</s:v>
      </s:c>
    </s:row>
    <s:row r="9">
      <s:c r="A9" s="20" t="inlineStr">
        <s:is>
          <s:t>ნერგები და თესლი / Seedlings &amp; seeds</s:t>
        </s:is>
      </s:c>
      <s:c r="B9" s="57" t="n">
        <s:v>14000</s:v>
      </s:c>
      <s:c r="C9" s="63" t="n">
        <s:v>0</s:v>
      </s:c>
      <s:c r="D9" s="63" t="n">
        <s:v>0</s:v>
      </s:c>
      <s:c r="E9" s="63" t="n">
        <s:v>0.2</s:v>
      </s:c>
      <s:c r="F9" s="63" t="n">
        <s:v>0.25</s:v>
      </s:c>
      <s:c r="G9" s="63" t="n">
        <s:v>0</s:v>
      </s:c>
      <s:c r="H9" s="63" t="n">
        <s:v>0</s:v>
      </s:c>
      <s:c r="I9" s="63" t="n">
        <s:v>0</s:v>
      </s:c>
      <s:c r="J9" s="63" t="n">
        <s:v>0.3</s:v>
      </s:c>
      <s:c r="K9" s="63" t="n">
        <s:v>0.25</s:v>
      </s:c>
      <s:c r="L9" s="63" t="n">
        <s:v>0</s:v>
      </s:c>
      <s:c r="M9" s="63" t="n">
        <s:v>0</s:v>
      </s:c>
      <s:c r="N9" s="63" t="n">
        <s:v>0</s:v>
      </s:c>
      <s:c r="O9" s="19">
        <s:f>SUM(C9:N9)</s:f>
        <s:v>1.0</s:v>
      </s:c>
    </s:row>
    <s:row r="10">
      <s:c r="A10" s="20" t="inlineStr">
        <s:is>
          <s:t>სასუქი და მცენარეთა დაცვა / Fertiliser &amp; crop protection</s:t>
        </s:is>
      </s:c>
      <s:c r="B10" s="57" t="n">
        <s:v>18000</s:v>
      </s:c>
      <s:c r="C10" s="63" t="n">
        <s:v>0.08</s:v>
      </s:c>
      <s:c r="D10" s="63" t="n">
        <s:v>0.1</s:v>
      </s:c>
      <s:c r="E10" s="63" t="n">
        <s:v>0.12</s:v>
      </s:c>
      <s:c r="F10" s="63" t="n">
        <s:v>0.1</s:v>
      </s:c>
      <s:c r="G10" s="63" t="n">
        <s:v>0.08</s:v>
      </s:c>
      <s:c r="H10" s="63" t="n">
        <s:v>0.08</s:v>
      </s:c>
      <s:c r="I10" s="63" t="n">
        <s:v>0.08</s:v>
      </s:c>
      <s:c r="J10" s="63" t="n">
        <s:v>0.08</s:v>
      </s:c>
      <s:c r="K10" s="63" t="n">
        <s:v>0.1</s:v>
      </s:c>
      <s:c r="L10" s="63" t="n">
        <s:v>0.1</s:v>
      </s:c>
      <s:c r="M10" s="63" t="n">
        <s:v>0.04</s:v>
      </s:c>
      <s:c r="N10" s="63" t="n">
        <s:v>0.04</s:v>
      </s:c>
      <s:c r="O10" s="19">
        <s:f>SUM(C10:N10)</s:f>
        <s:v>1.0</s:v>
      </s:c>
    </s:row>
    <s:row r="11">
      <s:c r="A11" s="20" t="inlineStr">
        <s:is>
          <s:t>შეფუთვა და ლოგისტიკა / Packaging &amp; logistics</s:t>
        </s:is>
      </s:c>
      <s:c r="B11" s="57" t="n">
        <s:v>10000</s:v>
      </s:c>
      <s:c r="C11" s="63" t="n">
        <s:v>0.12</s:v>
      </s:c>
      <s:c r="D11" s="63" t="n">
        <s:v>0.14</s:v>
      </s:c>
      <s:c r="E11" s="63" t="n">
        <s:v>0.14</s:v>
      </s:c>
      <s:c r="F11" s="63" t="n">
        <s:v>0.08</s:v>
      </s:c>
      <s:c r="G11" s="63" t="n">
        <s:v>0</s:v>
      </s:c>
      <s:c r="H11" s="63" t="n">
        <s:v>0.07000000000000001</s:v>
      </s:c>
      <s:c r="I11" s="63" t="n">
        <s:v>0.11</s:v>
      </s:c>
      <s:c r="J11" s="63" t="n">
        <s:v>0.11</s:v>
      </s:c>
      <s:c r="K11" s="63" t="n">
        <s:v>0.07000000000000001</s:v>
      </s:c>
      <s:c r="L11" s="63" t="n">
        <s:v>0</s:v>
      </s:c>
      <s:c r="M11" s="63" t="n">
        <s:v>0</s:v>
      </s:c>
      <s:c r="N11" s="63" t="n">
        <s:v>0.16</s:v>
      </s:c>
      <s:c r="O11" s="19">
        <s:f>SUM(C11:N11)</s:f>
        <s:v>1.0</s:v>
      </s:c>
    </s:row>
    <s:row r="12">
      <s:c r="A12" s="20" t="inlineStr">
        <s:is>
          <s:t>რემონტი და მოვლა / Maintenance &amp; repairs</s:t>
        </s:is>
      </s:c>
      <s:c r="B12" s="57" t="n">
        <s:v>6000</s:v>
      </s:c>
      <s:c r="C12" s="63" t="n">
        <s:v>0.02</s:v>
      </s:c>
      <s:c r="D12" s="63" t="n">
        <s:v>0.02</s:v>
      </s:c>
      <s:c r="E12" s="63" t="n">
        <s:v>0.02</s:v>
      </s:c>
      <s:c r="F12" s="63" t="n">
        <s:v>0.04</s:v>
      </s:c>
      <s:c r="G12" s="63" t="n">
        <s:v>0.2</s:v>
      </s:c>
      <s:c r="H12" s="63" t="n">
        <s:v>0.1</s:v>
      </s:c>
      <s:c r="I12" s="63" t="n">
        <s:v>0.02</s:v>
      </s:c>
      <s:c r="J12" s="63" t="n">
        <s:v>0.02</s:v>
      </s:c>
      <s:c r="K12" s="63" t="n">
        <s:v>0.03</s:v>
      </s:c>
      <s:c r="L12" s="63" t="n">
        <s:v>0.25</s:v>
      </s:c>
      <s:c r="M12" s="63" t="n">
        <s:v>0.25</s:v>
      </s:c>
      <s:c r="N12" s="63" t="n">
        <s:v>0.03</s:v>
      </s:c>
      <s:c r="O12" s="19">
        <s:f>SUM(C12:N12)</s:f>
        <s:v>1.0</s:v>
      </s:c>
    </s:row>
    <s:row r="13">
      <s:c r="A13" s="20" t="inlineStr">
        <s:is>
          <s:t>ადმინისტრაცია, დაზღვევა, ბუღალტერია / Admin, insurance, accounting</s:t>
        </s:is>
      </s:c>
      <s:c r="B13" s="57" t="n">
        <s:v>6000</s:v>
      </s:c>
      <s:c r="C13" s="63" t="n">
        <s:v>0.08</s:v>
      </s:c>
      <s:c r="D13" s="63" t="n">
        <s:v>0.08</s:v>
      </s:c>
      <s:c r="E13" s="63" t="n">
        <s:v>0.09</s:v>
      </s:c>
      <s:c r="F13" s="63" t="n">
        <s:v>0.08</s:v>
      </s:c>
      <s:c r="G13" s="63" t="n">
        <s:v>0.08</s:v>
      </s:c>
      <s:c r="H13" s="63" t="n">
        <s:v>0.09</s:v>
      </s:c>
      <s:c r="I13" s="63" t="n">
        <s:v>0.08</s:v>
      </s:c>
      <s:c r="J13" s="63" t="n">
        <s:v>0.08</s:v>
      </s:c>
      <s:c r="K13" s="63" t="n">
        <s:v>0.09</s:v>
      </s:c>
      <s:c r="L13" s="63" t="n">
        <s:v>0.08</s:v>
      </s:c>
      <s:c r="M13" s="63" t="n">
        <s:v>0.08</s:v>
      </s:c>
      <s:c r="N13" s="63" t="n">
        <s:v>0.09</s:v>
      </s:c>
      <s:c r="O13" s="19">
        <s:f>SUM(C13:N13)</s:f>
        <s:v>0.9999999999999998</s:v>
      </s:c>
    </s:row>
    <s:row r="14">
      <s:c r="A14" s="26" t="inlineStr">
        <s:is>
          <s:t>სულ / TOTAL</s:t>
        </s:is>
      </s:c>
      <s:c r="B14" s="27">
        <s:f>SUM(B6:B13)</s:f>
        <s:v>150000.0</s:v>
      </s:c>
      <s:c r="C14" s="28">
        <s:f>IFERROR(SUMPRODUCT($B$6:$B$13,C6:C13)/$B$14,0)</s:f>
        <s:v>0.1168</s:v>
      </s:c>
      <s:c r="D14" s="28">
        <s:f>IFERROR(SUMPRODUCT($B$6:$B$13,D6:D13)/$B$14,0)</s:f>
        <s:v>0.11333333333333333</s:v>
      </s:c>
      <s:c r="E14" s="28">
        <s:f>IFERROR(SUMPRODUCT($B$6:$B$13,E6:E13)/$B$14,0)</s:f>
        <s:v>0.1132</s:v>
      </s:c>
      <s:c r="F14" s="28">
        <s:f>IFERROR(SUMPRODUCT($B$6:$B$13,F6:F13)/$B$14,0)</s:f>
        <s:v>0.08466666666666667</s:v>
      </s:c>
      <s:c r="G14" s="28">
        <s:f>IFERROR(SUMPRODUCT($B$6:$B$13,G6:G13)/$B$14,0)</s:f>
        <s:v>0.0504</s:v>
      </s:c>
      <s:c r="H14" s="28">
        <s:f>IFERROR(SUMPRODUCT($B$6:$B$13,H6:H13)/$B$14,0)</s:f>
        <s:v>0.058666666666666666</s:v>
      </s:c>
      <s:c r="I14" s="28">
        <s:f>IFERROR(SUMPRODUCT($B$6:$B$13,I6:I13)/$B$14,0)</s:f>
        <s:v>0.05853333333333333</s:v>
      </s:c>
      <s:c r="J14" s="28">
        <s:f>IFERROR(SUMPRODUCT($B$6:$B$13,J6:J13)/$B$14,0)</s:f>
        <s:v>0.08653333333333334</s:v>
      </s:c>
      <s:c r="K14" s="28">
        <s:f>IFERROR(SUMPRODUCT($B$6:$B$13,K6:K13)/$B$14,0)</s:f>
        <s:v>0.0776</s:v>
      </s:c>
      <s:c r="L14" s="28">
        <s:f>IFERROR(SUMPRODUCT($B$6:$B$13,L6:L13)/$B$14,0)</s:f>
        <s:v>0.062</s:v>
      </s:c>
      <s:c r="M14" s="28">
        <s:f>IFERROR(SUMPRODUCT($B$6:$B$13,M6:M13)/$B$14,0)</s:f>
        <s:v>0.0764</s:v>
      </s:c>
      <s:c r="N14" s="28">
        <s:f>IFERROR(SUMPRODUCT($B$6:$B$13,N6:N13)/$B$14,0)</s:f>
        <s:v>0.10186666666666666</s:v>
      </s:c>
      <s:c r="O14" s="28">
        <s:f>SUM(C14:N14)</s:f>
        <s:v>0.9999999999999999</s:v>
      </s:c>
    </s:row>
    <s:row r="15">
      <s:c r="A15" s="2" t="inlineStr">
        <s:is>
          <s:t>თითოეული სტრიქონის „ჯამი %" უნდა იყოს 100.0%. / Every row's check must read 100.0%.</s:t>
        </s:is>
      </s:c>
    </s:row>
    <s:row r="17">
      <s:c r="A17" s="10" t="inlineStr">
        <s:is>
          <s:t>ბლოკი 2 — თვიური ხარჯი (GEL) / BLOCK 2 — monthly cost (GEL)</s:t>
        </s:is>
      </s:c>
      <s:c r="B17" s="11" t="n"/>
      <s:c r="C17" s="11" t="n"/>
      <s:c r="D17" s="11" t="n"/>
      <s:c r="E17" s="11" t="n"/>
      <s:c r="F17" s="11" t="n"/>
      <s:c r="G17" s="11" t="n"/>
      <s:c r="H17" s="11" t="n"/>
      <s:c r="I17" s="11" t="n"/>
      <s:c r="J17" s="11" t="n"/>
      <s:c r="K17" s="11" t="n"/>
      <s:c r="L17" s="11" t="n"/>
      <s:c r="M17" s="11" t="n"/>
      <s:c r="N17" s="11" t="n"/>
      <s:c r="O17" s="11" t="n"/>
    </s:row>
    <s:row r="18">
      <s:c r="A18" s="62" t="inlineStr">
        <s:is>
          <s:t>კატეგორია / Category</s:t>
        </s:is>
      </s:c>
      <s:c r="B18" s="12" t="inlineStr">
        <s:is>
          <s:t>Jan / იან</s:t>
        </s:is>
      </s:c>
      <s:c r="C18" s="12" t="inlineStr">
        <s:is>
          <s:t>Feb / თებ</s:t>
        </s:is>
      </s:c>
      <s:c r="D18" s="12" t="inlineStr">
        <s:is>
          <s:t>Mar / მარ</s:t>
        </s:is>
      </s:c>
      <s:c r="E18" s="12" t="inlineStr">
        <s:is>
          <s:t>Apr / აპრ</s:t>
        </s:is>
      </s:c>
      <s:c r="F18" s="12" t="inlineStr">
        <s:is>
          <s:t>May / მაი</s:t>
        </s:is>
      </s:c>
      <s:c r="G18" s="12" t="inlineStr">
        <s:is>
          <s:t>Jun / ივნ</s:t>
        </s:is>
      </s:c>
      <s:c r="H18" s="12" t="inlineStr">
        <s:is>
          <s:t>Jul / ივლ</s:t>
        </s:is>
      </s:c>
      <s:c r="I18" s="12" t="inlineStr">
        <s:is>
          <s:t>Aug / აგვ</s:t>
        </s:is>
      </s:c>
      <s:c r="J18" s="12" t="inlineStr">
        <s:is>
          <s:t>Sep / სექ</s:t>
        </s:is>
      </s:c>
      <s:c r="K18" s="12" t="inlineStr">
        <s:is>
          <s:t>Oct / ოქტ</s:t>
        </s:is>
      </s:c>
      <s:c r="L18" s="12" t="inlineStr">
        <s:is>
          <s:t>Nov / ნოე</s:t>
        </s:is>
      </s:c>
      <s:c r="M18" s="12" t="inlineStr">
        <s:is>
          <s:t>Dec / დეკ</s:t>
        </s:is>
      </s:c>
      <s:c r="N18" s="12" t="inlineStr">
        <s:is>
          <s:t>სულ / Total</s:t>
        </s:is>
      </s:c>
    </s:row>
    <s:row r="19">
      <s:c r="A19" s="20" t="inlineStr">
        <s:is>
          <s:t>ხელფასები / Labour &amp; wages</s:t>
        </s:is>
      </s:c>
      <s:c r="B19" s="21">
        <s:f>$B$6*C6</s:f>
        <s:v>4320.0</s:v>
      </s:c>
      <s:c r="C19" s="21">
        <s:f>$B$6*D6</s:f>
        <s:v>4320.0</s:v>
      </s:c>
      <s:c r="D19" s="21">
        <s:f>$B$6*E6</s:f>
        <s:v>4320.0</s:v>
      </s:c>
      <s:c r="E19" s="21">
        <s:f>$B$6*F6</s:f>
        <s:v>3840.0</s:v>
      </s:c>
      <s:c r="F19" s="21">
        <s:f>$B$6*G6</s:f>
        <s:v>3360.0000000000005</s:v>
      </s:c>
      <s:c r="G19" s="21">
        <s:f>$B$6*H6</s:f>
        <s:v>4320.0</s:v>
      </s:c>
      <s:c r="H19" s="21">
        <s:f>$B$6*I6</s:f>
        <s:v>4320.0</s:v>
      </s:c>
      <s:c r="I19" s="21">
        <s:f>$B$6*J6</s:f>
        <s:v>4320.0</s:v>
      </s:c>
      <s:c r="J19" s="21">
        <s:f>$B$6*K6</s:f>
        <s:v>3840.0</s:v>
      </s:c>
      <s:c r="K19" s="21">
        <s:f>$B$6*L6</s:f>
        <s:v>3360.0000000000005</s:v>
      </s:c>
      <s:c r="L19" s="21">
        <s:f>$B$6*M6</s:f>
        <s:v>3360.0000000000005</s:v>
      </s:c>
      <s:c r="M19" s="21">
        <s:f>$B$6*N6</s:f>
        <s:v>4320.0</s:v>
      </s:c>
      <s:c r="N19" s="18">
        <s:f>SUM(B19:M19)</s:f>
        <s:v>48000.0</s:v>
      </s:c>
    </s:row>
    <s:row r="20">
      <s:c r="A20" s="20" t="inlineStr">
        <s:is>
          <s:t>გათბობა (გაზი/საწვავი) / Heating (gas &amp; fuel)</s:t>
        </s:is>
      </s:c>
      <s:c r="B20" s="21">
        <s:f>$B$7*C7</s:f>
        <s:v>9000.0</s:v>
      </s:c>
      <s:c r="C20" s="21">
        <s:f>$B$7*D7</s:f>
        <s:v>7920.0</s:v>
      </s:c>
      <s:c r="D20" s="21">
        <s:f>$B$7*E7</s:f>
        <s:v>4680.0</s:v>
      </s:c>
      <s:c r="E20" s="21">
        <s:f>$B$7*F7</s:f>
        <s:v>1080.0</s:v>
      </s:c>
      <s:c r="F20" s="21">
        <s:f>$B$7*G7</s:f>
        <s:v>0.0</s:v>
      </s:c>
      <s:c r="G20" s="21">
        <s:f>$B$7*H7</s:f>
        <s:v>0.0</s:v>
      </s:c>
      <s:c r="H20" s="21">
        <s:f>$B$7*I7</s:f>
        <s:v>0.0</s:v>
      </s:c>
      <s:c r="I20" s="21">
        <s:f>$B$7*J7</s:f>
        <s:v>0.0</s:v>
      </s:c>
      <s:c r="J20" s="21">
        <s:f>$B$7*K7</s:f>
        <s:v>0.0</s:v>
      </s:c>
      <s:c r="K20" s="21">
        <s:f>$B$7*L7</s:f>
        <s:v>1440.0</s:v>
      </s:c>
      <s:c r="L20" s="21">
        <s:f>$B$7*M7</s:f>
        <s:v>4680.0</s:v>
      </s:c>
      <s:c r="M20" s="21">
        <s:f>$B$7*N7</s:f>
        <s:v>7200.0</s:v>
      </s:c>
      <s:c r="N20" s="18">
        <s:f>SUM(B20:M20)</s:f>
        <s:v>36000.0</s:v>
      </s:c>
    </s:row>
    <s:row r="21">
      <s:c r="A21" s="20" t="inlineStr">
        <s:is>
          <s:t>ელექტროენერგია და წყალი / Electricity &amp; water</s:t>
        </s:is>
      </s:c>
      <s:c r="B21" s="21">
        <s:f>$B$8*C8</s:f>
        <s:v>960.0</s:v>
      </s:c>
      <s:c r="C21" s="21">
        <s:f>$B$8*D8</s:f>
        <s:v>960.0</s:v>
      </s:c>
      <s:c r="D21" s="21">
        <s:f>$B$8*E8</s:f>
        <s:v>960.0</s:v>
      </s:c>
      <s:c r="E21" s="21">
        <s:f>$B$8*F8</s:f>
        <s:v>960.0</s:v>
      </s:c>
      <s:c r="F21" s="21">
        <s:f>$B$8*G8</s:f>
        <s:v>1080.0</s:v>
      </s:c>
      <s:c r="G21" s="21">
        <s:f>$B$8*H8</s:f>
        <s:v>1200.0</s:v>
      </s:c>
      <s:c r="H21" s="21">
        <s:f>$B$8*I8</s:f>
        <s:v>1320.0</s:v>
      </s:c>
      <s:c r="I21" s="21">
        <s:f>$B$8*J8</s:f>
        <s:v>1320.0</s:v>
      </s:c>
      <s:c r="J21" s="21">
        <s:f>$B$8*K8</s:f>
        <s:v>1080.0</s:v>
      </s:c>
      <s:c r="K21" s="21">
        <s:f>$B$8*L8</s:f>
        <s:v>720.0</s:v>
      </s:c>
      <s:c r="L21" s="21">
        <s:f>$B$8*M8</s:f>
        <s:v>720.0</s:v>
      </s:c>
      <s:c r="M21" s="21">
        <s:f>$B$8*N8</s:f>
        <s:v>720.0</s:v>
      </s:c>
      <s:c r="N21" s="18">
        <s:f>SUM(B21:M21)</s:f>
        <s:v>12000.0</s:v>
      </s:c>
    </s:row>
    <s:row r="22">
      <s:c r="A22" s="20" t="inlineStr">
        <s:is>
          <s:t>ნერგები და თესლი / Seedlings &amp; seeds</s:t>
        </s:is>
      </s:c>
      <s:c r="B22" s="21">
        <s:f>$B$9*C9</s:f>
        <s:v>0.0</s:v>
      </s:c>
      <s:c r="C22" s="21">
        <s:f>$B$9*D9</s:f>
        <s:v>0.0</s:v>
      </s:c>
      <s:c r="D22" s="21">
        <s:f>$B$9*E9</s:f>
        <s:v>2800.0</s:v>
      </s:c>
      <s:c r="E22" s="21">
        <s:f>$B$9*F9</s:f>
        <s:v>3500.0</s:v>
      </s:c>
      <s:c r="F22" s="21">
        <s:f>$B$9*G9</s:f>
        <s:v>0.0</s:v>
      </s:c>
      <s:c r="G22" s="21">
        <s:f>$B$9*H9</s:f>
        <s:v>0.0</s:v>
      </s:c>
      <s:c r="H22" s="21">
        <s:f>$B$9*I9</s:f>
        <s:v>0.0</s:v>
      </s:c>
      <s:c r="I22" s="21">
        <s:f>$B$9*J9</s:f>
        <s:v>4200.0</s:v>
      </s:c>
      <s:c r="J22" s="21">
        <s:f>$B$9*K9</s:f>
        <s:v>3500.0</s:v>
      </s:c>
      <s:c r="K22" s="21">
        <s:f>$B$9*L9</s:f>
        <s:v>0.0</s:v>
      </s:c>
      <s:c r="L22" s="21">
        <s:f>$B$9*M9</s:f>
        <s:v>0.0</s:v>
      </s:c>
      <s:c r="M22" s="21">
        <s:f>$B$9*N9</s:f>
        <s:v>0.0</s:v>
      </s:c>
      <s:c r="N22" s="18">
        <s:f>SUM(B22:M22)</s:f>
        <s:v>14000.0</s:v>
      </s:c>
    </s:row>
    <s:row r="23">
      <s:c r="A23" s="20" t="inlineStr">
        <s:is>
          <s:t>სასუქი და მცენარეთა დაცვა / Fertiliser &amp; crop protection</s:t>
        </s:is>
      </s:c>
      <s:c r="B23" s="21">
        <s:f>$B$10*C10</s:f>
        <s:v>1440.0</s:v>
      </s:c>
      <s:c r="C23" s="21">
        <s:f>$B$10*D10</s:f>
        <s:v>1800.0</s:v>
      </s:c>
      <s:c r="D23" s="21">
        <s:f>$B$10*E10</s:f>
        <s:v>2160.0</s:v>
      </s:c>
      <s:c r="E23" s="21">
        <s:f>$B$10*F10</s:f>
        <s:v>1800.0</s:v>
      </s:c>
      <s:c r="F23" s="21">
        <s:f>$B$10*G10</s:f>
        <s:v>1440.0</s:v>
      </s:c>
      <s:c r="G23" s="21">
        <s:f>$B$10*H10</s:f>
        <s:v>1440.0</s:v>
      </s:c>
      <s:c r="H23" s="21">
        <s:f>$B$10*I10</s:f>
        <s:v>1440.0</s:v>
      </s:c>
      <s:c r="I23" s="21">
        <s:f>$B$10*J10</s:f>
        <s:v>1440.0</s:v>
      </s:c>
      <s:c r="J23" s="21">
        <s:f>$B$10*K10</s:f>
        <s:v>1800.0</s:v>
      </s:c>
      <s:c r="K23" s="21">
        <s:f>$B$10*L10</s:f>
        <s:v>1800.0</s:v>
      </s:c>
      <s:c r="L23" s="21">
        <s:f>$B$10*M10</s:f>
        <s:v>720.0</s:v>
      </s:c>
      <s:c r="M23" s="21">
        <s:f>$B$10*N10</s:f>
        <s:v>720.0</s:v>
      </s:c>
      <s:c r="N23" s="18">
        <s:f>SUM(B23:M23)</s:f>
        <s:v>18000.0</s:v>
      </s:c>
    </s:row>
    <s:row r="24">
      <s:c r="A24" s="20" t="inlineStr">
        <s:is>
          <s:t>შეფუთვა და ლოგისტიკა / Packaging &amp; logistics</s:t>
        </s:is>
      </s:c>
      <s:c r="B24" s="21">
        <s:f>$B$11*C11</s:f>
        <s:v>1200.0</s:v>
      </s:c>
      <s:c r="C24" s="21">
        <s:f>$B$11*D11</s:f>
        <s:v>1400.0000000000002</s:v>
      </s:c>
      <s:c r="D24" s="21">
        <s:f>$B$11*E11</s:f>
        <s:v>1400.0000000000002</s:v>
      </s:c>
      <s:c r="E24" s="21">
        <s:f>$B$11*F11</s:f>
        <s:v>800.0</s:v>
      </s:c>
      <s:c r="F24" s="21">
        <s:f>$B$11*G11</s:f>
        <s:v>0.0</s:v>
      </s:c>
      <s:c r="G24" s="21">
        <s:f>$B$11*H11</s:f>
        <s:v>700.0000000000001</s:v>
      </s:c>
      <s:c r="H24" s="21">
        <s:f>$B$11*I11</s:f>
        <s:v>1100.0</s:v>
      </s:c>
      <s:c r="I24" s="21">
        <s:f>$B$11*J11</s:f>
        <s:v>1100.0</s:v>
      </s:c>
      <s:c r="J24" s="21">
        <s:f>$B$11*K11</s:f>
        <s:v>700.0000000000001</s:v>
      </s:c>
      <s:c r="K24" s="21">
        <s:f>$B$11*L11</s:f>
        <s:v>0.0</s:v>
      </s:c>
      <s:c r="L24" s="21">
        <s:f>$B$11*M11</s:f>
        <s:v>0.0</s:v>
      </s:c>
      <s:c r="M24" s="21">
        <s:f>$B$11*N11</s:f>
        <s:v>1600.0</s:v>
      </s:c>
      <s:c r="N24" s="18">
        <s:f>SUM(B24:M24)</s:f>
        <s:v>10000.0</s:v>
      </s:c>
    </s:row>
    <s:row r="25">
      <s:c r="A25" s="20" t="inlineStr">
        <s:is>
          <s:t>რემონტი და მოვლა / Maintenance &amp; repairs</s:t>
        </s:is>
      </s:c>
      <s:c r="B25" s="21">
        <s:f>$B$12*C12</s:f>
        <s:v>120.0</s:v>
      </s:c>
      <s:c r="C25" s="21">
        <s:f>$B$12*D12</s:f>
        <s:v>120.0</s:v>
      </s:c>
      <s:c r="D25" s="21">
        <s:f>$B$12*E12</s:f>
        <s:v>120.0</s:v>
      </s:c>
      <s:c r="E25" s="21">
        <s:f>$B$12*F12</s:f>
        <s:v>240.0</s:v>
      </s:c>
      <s:c r="F25" s="21">
        <s:f>$B$12*G12</s:f>
        <s:v>1200.0</s:v>
      </s:c>
      <s:c r="G25" s="21">
        <s:f>$B$12*H12</s:f>
        <s:v>600.0</s:v>
      </s:c>
      <s:c r="H25" s="21">
        <s:f>$B$12*I12</s:f>
        <s:v>120.0</s:v>
      </s:c>
      <s:c r="I25" s="21">
        <s:f>$B$12*J12</s:f>
        <s:v>120.0</s:v>
      </s:c>
      <s:c r="J25" s="21">
        <s:f>$B$12*K12</s:f>
        <s:v>180.0</s:v>
      </s:c>
      <s:c r="K25" s="21">
        <s:f>$B$12*L12</s:f>
        <s:v>1500.0</s:v>
      </s:c>
      <s:c r="L25" s="21">
        <s:f>$B$12*M12</s:f>
        <s:v>1500.0</s:v>
      </s:c>
      <s:c r="M25" s="21">
        <s:f>$B$12*N12</s:f>
        <s:v>180.0</s:v>
      </s:c>
      <s:c r="N25" s="18">
        <s:f>SUM(B25:M25)</s:f>
        <s:v>6000.0</s:v>
      </s:c>
    </s:row>
    <s:row r="26">
      <s:c r="A26" s="20" t="inlineStr">
        <s:is>
          <s:t>ადმინისტრაცია, დაზღვევა, ბუღალტერია / Admin, insurance, accounting</s:t>
        </s:is>
      </s:c>
      <s:c r="B26" s="21">
        <s:f>$B$13*C13</s:f>
        <s:v>480.0</s:v>
      </s:c>
      <s:c r="C26" s="21">
        <s:f>$B$13*D13</s:f>
        <s:v>480.0</s:v>
      </s:c>
      <s:c r="D26" s="21">
        <s:f>$B$13*E13</s:f>
        <s:v>540.0</s:v>
      </s:c>
      <s:c r="E26" s="21">
        <s:f>$B$13*F13</s:f>
        <s:v>480.0</s:v>
      </s:c>
      <s:c r="F26" s="21">
        <s:f>$B$13*G13</s:f>
        <s:v>480.0</s:v>
      </s:c>
      <s:c r="G26" s="21">
        <s:f>$B$13*H13</s:f>
        <s:v>540.0</s:v>
      </s:c>
      <s:c r="H26" s="21">
        <s:f>$B$13*I13</s:f>
        <s:v>480.0</s:v>
      </s:c>
      <s:c r="I26" s="21">
        <s:f>$B$13*J13</s:f>
        <s:v>480.0</s:v>
      </s:c>
      <s:c r="J26" s="21">
        <s:f>$B$13*K13</s:f>
        <s:v>540.0</s:v>
      </s:c>
      <s:c r="K26" s="21">
        <s:f>$B$13*L13</s:f>
        <s:v>480.0</s:v>
      </s:c>
      <s:c r="L26" s="21">
        <s:f>$B$13*M13</s:f>
        <s:v>480.0</s:v>
      </s:c>
      <s:c r="M26" s="21">
        <s:f>$B$13*N13</s:f>
        <s:v>540.0</s:v>
      </s:c>
      <s:c r="N26" s="18">
        <s:f>SUM(B26:M26)</s:f>
        <s:v>6000.0</s:v>
      </s:c>
    </s:row>
    <s:row r="27">
      <s:c r="A27" s="26" t="inlineStr">
        <s:is>
          <s:t>სულ OPEX / TOTAL OPEX</s:t>
        </s:is>
      </s:c>
      <s:c r="B27" s="27">
        <s:f>SUM(B19:B26)</s:f>
        <s:v>17520.0</s:v>
      </s:c>
      <s:c r="C27" s="27">
        <s:f>SUM(C19:C26)</s:f>
        <s:v>17000.0</s:v>
      </s:c>
      <s:c r="D27" s="27">
        <s:f>SUM(D19:D26)</s:f>
        <s:v>16980.0</s:v>
      </s:c>
      <s:c r="E27" s="27">
        <s:f>SUM(E19:E26)</s:f>
        <s:v>12700.0</s:v>
      </s:c>
      <s:c r="F27" s="27">
        <s:f>SUM(F19:F26)</s:f>
        <s:v>7560.0</s:v>
      </s:c>
      <s:c r="G27" s="27">
        <s:f>SUM(G19:G26)</s:f>
        <s:v>8800.0</s:v>
      </s:c>
      <s:c r="H27" s="27">
        <s:f>SUM(H19:H26)</s:f>
        <s:v>8780.0</s:v>
      </s:c>
      <s:c r="I27" s="27">
        <s:f>SUM(I19:I26)</s:f>
        <s:v>12980.0</s:v>
      </s:c>
      <s:c r="J27" s="27">
        <s:f>SUM(J19:J26)</s:f>
        <s:v>11640.0</s:v>
      </s:c>
      <s:c r="K27" s="27">
        <s:f>SUM(K19:K26)</s:f>
        <s:v>9300.0</s:v>
      </s:c>
      <s:c r="L27" s="27">
        <s:f>SUM(L19:L26)</s:f>
        <s:v>11460.0</s:v>
      </s:c>
      <s:c r="M27" s="27">
        <s:f>SUM(M19:M26)</s:f>
        <s:v>15280.0</s:v>
      </s:c>
      <s:c r="N27" s="27">
        <s:f>SUM(B27:M27)</s:f>
        <s:v>150000.0</s:v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1:S125"/>
  <s:sheetViews>
    <s:sheetView showGridLines="0" workbookViewId="0">
      <s:pane ySplit="4" topLeftCell="A5" activePane="bottomLeft" state="frozen"/>
      <s:selection pane="bottomLeft" activeCell="A1" sqref="A1"/>
    </s:sheetView>
  </s:sheetViews>
  <s:sheetFormatPr baseColWidth="8" defaultRowHeight="15"/>
  <s:cols>
    <s:col width="8" customWidth="1" min="1" max="1"/>
    <s:col width="12" customWidth="1" min="2" max="2"/>
    <s:col width="7" customWidth="1" min="3" max="3"/>
    <s:col width="15" customWidth="1" min="4" max="4"/>
    <s:col width="13" customWidth="1" min="5" max="5"/>
    <s:col width="15" customWidth="1" min="6" max="6"/>
    <s:col width="14" customWidth="1" min="7" max="7"/>
    <s:col width="13" customWidth="1" min="8" max="8"/>
    <s:col width="15" customWidth="1" min="9" max="9"/>
    <s:col width="15" customWidth="1" min="10" max="10"/>
    <s:col width="15" customWidth="1" min="11" max="11"/>
    <s:col width="3" customWidth="1" min="12" max="12"/>
    <s:col width="8" customWidth="1" min="13" max="13"/>
    <s:col width="14" customWidth="1" min="14" max="14"/>
    <s:col width="15" customWidth="1" min="15" max="15"/>
    <s:col width="14" customWidth="1" min="16" max="16"/>
    <s:col width="13" customWidth="1" min="17" max="17"/>
    <s:col width="15" customWidth="1" min="18" max="18"/>
    <s:col width="15" customWidth="1" min="19" max="19"/>
  </s:cols>
  <s:sheetData>
    <s:row r="1">
      <s:c r="A1" s="1" t="inlineStr">
        <s:is>
          <s:t>სესხის გრაფიკი / LOAN SCHEDULE — სს „ბანკი ქართუ" / CARTU BANK</s:t>
        </s:is>
      </s:c>
    </s:row>
    <s:row r="2">
      <s:c r="A2" s="2" t="inlineStr">
        <s:is>
          <s:t>ხელშეკრულება GA/1-876787–001, 17/06/2026 · შეღავათიანი აგრო კრედიტი · ყველა პირობა ხელშეკრულებიდან / Contract GA/1-876787–001 of 17/06/2026 · preferential agro credit · every term is taken from the contract</s:t>
        </s:is>
      </s:c>
    </s:row>
    <s:row r="4">
      <s:c r="A4" s="12" t="inlineStr">
        <s:is>
          <s:t>თვე / M</s:t>
        </s:is>
      </s:c>
      <s:c r="B4" s="12" t="inlineStr">
        <s:is>
          <s:t>თარიღი / Date</s:t>
        </s:is>
      </s:c>
      <s:c r="C4" s="12" t="inlineStr">
        <s:is>
          <s:t>წელი / Yr</s:t>
        </s:is>
      </s:c>
      <s:c r="D4" s="12" t="inlineStr">
        <s:is>
          <s:t>საწყისი ძირი / Opening</s:t>
        </s:is>
      </s:c>
      <s:c r="E4" s="12" t="inlineStr">
        <s:is>
          <s:t>დარიცხული % / Interest</s:t>
        </s:is>
      </s:c>
      <s:c r="F4" s="12" t="inlineStr">
        <s:is>
          <s:t>სააგენტო / Agency</s:t>
        </s:is>
      </s:c>
      <s:c r="G4" s="12" t="inlineStr">
        <s:is>
          <s:t>წმინდა % / Net interest</s:t>
        </s:is>
      </s:c>
      <s:c r="H4" s="12" t="inlineStr">
        <s:is>
          <s:t>ძირი / Principal</s:t>
        </s:is>
      </s:c>
      <s:c r="I4" s="12" t="inlineStr">
        <s:is>
          <s:t>გადახდა / Payment</s:t>
        </s:is>
      </s:c>
      <s:c r="J4" s="12" t="inlineStr">
        <s:is>
          <s:t>დარჩენილი ძირი / Closing</s:t>
        </s:is>
      </s:c>
      <s:c r="K4" s="12" t="inlineStr">
        <s:is>
          <s:t>დაგროვილი % / Accrued</s:t>
        </s:is>
      </s:c>
      <s:c r="M4" s="12" t="inlineStr">
        <s:is>
          <s:t>წელი / Yr</s:t>
        </s:is>
      </s:c>
      <s:c r="N4" s="12" t="inlineStr">
        <s:is>
          <s:t>დარიცხული % / Interest</s:t>
        </s:is>
      </s:c>
      <s:c r="O4" s="12" t="inlineStr">
        <s:is>
          <s:t>სააგენტო / Agency</s:t>
        </s:is>
      </s:c>
      <s:c r="P4" s="12" t="inlineStr">
        <s:is>
          <s:t>წმინდა % / Net interest</s:t>
        </s:is>
      </s:c>
      <s:c r="Q4" s="12" t="inlineStr">
        <s:is>
          <s:t>ძირი / Principal</s:t>
        </s:is>
      </s:c>
      <s:c r="R4" s="12" t="inlineStr">
        <s:is>
          <s:t>გადახდა / Cash paid</s:t>
        </s:is>
      </s:c>
      <s:c r="S4" s="12" t="inlineStr">
        <s:is>
          <s:t>ნაშთი წლის ბოლოს / Closing</s:t>
        </s:is>
      </s:c>
    </s:row>
    <s:row r="5">
      <s:c r="A5" s="64" t="n">
        <s:v>1</s:v>
      </s:c>
      <s:c r="B5" s="65">
        <s:f>EDATE(DATE(2026,6,17),A5)</s:f>
        <s:v>46220.0</s:v>
      </s:c>
      <s:c r="C5" s="64">
        <s:f>INT((A5-1)/12)+1</s:f>
        <s:v>1.0</s:v>
      </s:c>
      <s:c r="D5" s="52">
        <s:f>Assumptions!$B$29</s:f>
        <s:v>625000.0</s:v>
      </s:c>
      <s:c r="E5" s="21">
        <s:f>IF(A5&gt;Assumptions!$B$31,0,D5*IF(A5&lt;Assumptions!$B$37,Assumptions!$B$30,Assumptions!$B$36)/12)</s:f>
        <s:v>6583.333333333335</s:v>
      </s:c>
      <s:c r="F5" s="21">
        <s:f>IF(A5&gt;Assumptions!$B$35,0,MIN(E5,D5*Assumptions!$B$34/12))</s:f>
        <s:v>5729.166666666667</s:v>
      </s:c>
      <s:c r="G5" s="21">
        <s:f>E5-F5</s:f>
        <s:v>854.1666666666679</s:v>
      </s:c>
      <s:c r="H5" s="21">
        <s:f>IF(A5&gt;Assumptions!$B$31,0,IF(A5&lt;=Assumptions!$B$32+1,0,MIN(D5,PMT(IF(A5&lt;Assumptions!$B$37,Assumptions!$B$30,Assumptions!$B$36)/12,Assumptions!$B$31-A5+1,-D5)-E5)))</s:f>
        <s:v>0.0</s:v>
      </s:c>
      <s:c r="I5" s="21">
        <s:f>IF(A5&gt;Assumptions!$B$31,0,IF(A5&lt;=Assumptions!$B$32,0,IF(A5=Assumptions!$B$32+1,0+G5,H5+G5)))</s:f>
        <s:v>0.0</s:v>
      </s:c>
      <s:c r="J5" s="21">
        <s:f>D5-H5</s:f>
        <s:v>625000.0</s:v>
      </s:c>
      <s:c r="K5" s="21">
        <s:f>IF(A5&lt;=Assumptions!$B$32,0+G5,0)</s:f>
        <s:v>854.1666666666679</s:v>
      </s:c>
      <s:c r="M5" s="64" t="n">
        <s:v>1</s:v>
      </s:c>
      <s:c r="N5" s="21">
        <s:f>SUMIF($C$5:$C$124,$M5,$E$5:$E$124)</s:f>
        <s:v>79000.0</s:v>
      </s:c>
      <s:c r="O5" s="21">
        <s:f>SUMIF($C$5:$C$124,$M5,$F$5:$F$124)</s:f>
        <s:v>68750.0</s:v>
      </s:c>
      <s:c r="P5" s="21">
        <s:f>SUMIF($C$5:$C$124,$M5,$G$5:$G$124)</s:f>
        <s:v>10250.000000000015</s:v>
      </s:c>
      <s:c r="Q5" s="21">
        <s:f>SUMIF($C$5:$C$124,$M5,$H$5:$H$124)</s:f>
        <s:v>0.0</s:v>
      </s:c>
      <s:c r="R5" s="21">
        <s:f>SUMIF($C$5:$C$124,$M5,$I$5:$I$124)</s:f>
        <s:v>0.0</s:v>
      </s:c>
      <s:c r="S5" s="21">
        <s:f>INDEX($J$5:$J$124,MATCH($M5*12,$A$5:$A$124,0))</s:f>
        <s:v>625000.0</s:v>
      </s:c>
    </s:row>
    <s:row r="6">
      <s:c r="A6" s="64" t="n">
        <s:v>2</s:v>
      </s:c>
      <s:c r="B6" s="65">
        <s:f>EDATE(DATE(2026,6,17),A6)</s:f>
        <s:v>46251.0</s:v>
      </s:c>
      <s:c r="C6" s="64">
        <s:f>INT((A6-1)/12)+1</s:f>
        <s:v>1.0</s:v>
      </s:c>
      <s:c r="D6" s="21">
        <s:f>J5</s:f>
        <s:v>625000.0</s:v>
      </s:c>
      <s:c r="E6" s="21">
        <s:f>IF(A6&gt;Assumptions!$B$31,0,D6*IF(A6&lt;Assumptions!$B$37,Assumptions!$B$30,Assumptions!$B$36)/12)</s:f>
        <s:v>6583.333333333335</s:v>
      </s:c>
      <s:c r="F6" s="21">
        <s:f>IF(A6&gt;Assumptions!$B$35,0,MIN(E6,D6*Assumptions!$B$34/12))</s:f>
        <s:v>5729.166666666667</s:v>
      </s:c>
      <s:c r="G6" s="21">
        <s:f>E6-F6</s:f>
        <s:v>854.1666666666679</s:v>
      </s:c>
      <s:c r="H6" s="21">
        <s:f>IF(A6&gt;Assumptions!$B$31,0,IF(A6&lt;=Assumptions!$B$32+1,0,MIN(D6,PMT(IF(A6&lt;Assumptions!$B$37,Assumptions!$B$30,Assumptions!$B$36)/12,Assumptions!$B$31-A6+1,-D6)-E6)))</s:f>
        <s:v>0.0</s:v>
      </s:c>
      <s:c r="I6" s="21">
        <s:f>IF(A6&gt;Assumptions!$B$31,0,IF(A6&lt;=Assumptions!$B$32,0,IF(A6=Assumptions!$B$32+1,K5+G6,H6+G6)))</s:f>
        <s:v>0.0</s:v>
      </s:c>
      <s:c r="J6" s="21">
        <s:f>D6-H6</s:f>
        <s:v>625000.0</s:v>
      </s:c>
      <s:c r="K6" s="21">
        <s:f>IF(A6&lt;=Assumptions!$B$32,K5+G6,0)</s:f>
        <s:v>1708.3333333333358</s:v>
      </s:c>
      <s:c r="M6" s="64" t="n">
        <s:v>2</s:v>
      </s:c>
      <s:c r="N6" s="21">
        <s:f>SUMIF($C$5:$C$124,$M6,$E$5:$E$124)</s:f>
        <s:v>77471.3141895218</s:v>
      </s:c>
      <s:c r="O6" s="21">
        <s:f>SUMIF($C$5:$C$124,$M6,$F$5:$F$124)</s:f>
        <s:v>67093.57840445059</s:v>
      </s:c>
      <s:c r="P6" s="21">
        <s:f>SUMIF($C$5:$C$124,$M6,$G$5:$G$124)</s:f>
        <s:v>10377.735785071218</s:v>
      </s:c>
      <s:c r="Q6" s="21">
        <s:f>SUMIF($C$5:$C$124,$M6,$H$5:$H$124)</s:f>
        <s:v>36790.9947854159</s:v>
      </s:c>
      <s:c r="R6" s="21">
        <s:f>SUMIF($C$5:$C$124,$M6,$I$5:$I$124)</s:f>
        <s:v>57418.73057048714</s:v>
      </s:c>
      <s:c r="S6" s="21">
        <s:f>INDEX($J$5:$J$124,MATCH($M6*12,$A$5:$A$124,0))</s:f>
        <s:v>588209.0052145841</s:v>
      </s:c>
    </s:row>
    <s:row r="7">
      <s:c r="A7" s="64" t="n">
        <s:v>3</s:v>
      </s:c>
      <s:c r="B7" s="65">
        <s:f>EDATE(DATE(2026,6,17),A7)</s:f>
        <s:v>46282.0</s:v>
      </s:c>
      <s:c r="C7" s="64">
        <s:f>INT((A7-1)/12)+1</s:f>
        <s:v>1.0</s:v>
      </s:c>
      <s:c r="D7" s="21">
        <s:f>J6</s:f>
        <s:v>625000.0</s:v>
      </s:c>
      <s:c r="E7" s="21">
        <s:f>IF(A7&gt;Assumptions!$B$31,0,D7*IF(A7&lt;Assumptions!$B$37,Assumptions!$B$30,Assumptions!$B$36)/12)</s:f>
        <s:v>6583.333333333335</s:v>
      </s:c>
      <s:c r="F7" s="21">
        <s:f>IF(A7&gt;Assumptions!$B$35,0,MIN(E7,D7*Assumptions!$B$34/12))</s:f>
        <s:v>5729.166666666667</s:v>
      </s:c>
      <s:c r="G7" s="21">
        <s:f>E7-F7</s:f>
        <s:v>854.1666666666679</s:v>
      </s:c>
      <s:c r="H7" s="21">
        <s:f>IF(A7&gt;Assumptions!$B$31,0,IF(A7&lt;=Assumptions!$B$32+1,0,MIN(D7,PMT(IF(A7&lt;Assumptions!$B$37,Assumptions!$B$30,Assumptions!$B$36)/12,Assumptions!$B$31-A7+1,-D7)-E7)))</s:f>
        <s:v>0.0</s:v>
      </s:c>
      <s:c r="I7" s="21">
        <s:f>IF(A7&gt;Assumptions!$B$31,0,IF(A7&lt;=Assumptions!$B$32,0,IF(A7=Assumptions!$B$32+1,K6+G7,H7+G7)))</s:f>
        <s:v>0.0</s:v>
      </s:c>
      <s:c r="J7" s="21">
        <s:f>D7-H7</s:f>
        <s:v>625000.0</s:v>
      </s:c>
      <s:c r="K7" s="21">
        <s:f>IF(A7&lt;=Assumptions!$B$32,K6+G7,0)</s:f>
        <s:v>2562.5000000000036</s:v>
      </s:c>
      <s:c r="M7" s="64" t="n">
        <s:v>3</s:v>
      </s:c>
      <s:c r="N7" s="21">
        <s:f>SUMIF($C$5:$C$124,$M7,$E$5:$E$124)</s:f>
        <s:v>76180.3582167377</s:v>
      </s:c>
      <s:c r="O7" s="21">
        <s:f>SUMIF($C$5:$C$124,$M7,$F$5:$F$124)</s:f>
        <s:v>62536.11495403839</s:v>
      </s:c>
      <s:c r="P7" s="21">
        <s:f>SUMIF($C$5:$C$124,$M7,$G$5:$G$124)</s:f>
        <s:v>13644.24326269929</s:v>
      </s:c>
      <s:c r="Q7" s="21">
        <s:f>SUMIF($C$5:$C$124,$M7,$H$5:$H$124)</s:f>
        <s:v>44038.62038216267</s:v>
      </s:c>
      <s:c r="R7" s="21">
        <s:f>SUMIF($C$5:$C$124,$M7,$I$5:$I$124)</s:f>
        <s:v>57682.86364486196</s:v>
      </s:c>
      <s:c r="S7" s="21">
        <s:f>INDEX($J$5:$J$124,MATCH($M7*12,$A$5:$A$124,0))</s:f>
        <s:v>544170.3848324217</s:v>
      </s:c>
    </s:row>
    <s:row r="8">
      <s:c r="A8" s="64" t="n">
        <s:v>4</s:v>
      </s:c>
      <s:c r="B8" s="65">
        <s:f>EDATE(DATE(2026,6,17),A8)</s:f>
        <s:v>46312.0</s:v>
      </s:c>
      <s:c r="C8" s="64">
        <s:f>INT((A8-1)/12)+1</s:f>
        <s:v>1.0</s:v>
      </s:c>
      <s:c r="D8" s="21">
        <s:f>J7</s:f>
        <s:v>625000.0</s:v>
      </s:c>
      <s:c r="E8" s="21">
        <s:f>IF(A8&gt;Assumptions!$B$31,0,D8*IF(A8&lt;Assumptions!$B$37,Assumptions!$B$30,Assumptions!$B$36)/12)</s:f>
        <s:v>6583.333333333335</s:v>
      </s:c>
      <s:c r="F8" s="21">
        <s:f>IF(A8&gt;Assumptions!$B$35,0,MIN(E8,D8*Assumptions!$B$34/12))</s:f>
        <s:v>5729.166666666667</s:v>
      </s:c>
      <s:c r="G8" s="21">
        <s:f>E8-F8</s:f>
        <s:v>854.1666666666679</s:v>
      </s:c>
      <s:c r="H8" s="21">
        <s:f>IF(A8&gt;Assumptions!$B$31,0,IF(A8&lt;=Assumptions!$B$32+1,0,MIN(D8,PMT(IF(A8&lt;Assumptions!$B$37,Assumptions!$B$30,Assumptions!$B$36)/12,Assumptions!$B$31-A8+1,-D8)-E8)))</s:f>
        <s:v>0.0</s:v>
      </s:c>
      <s:c r="I8" s="21">
        <s:f>IF(A8&gt;Assumptions!$B$31,0,IF(A8&lt;=Assumptions!$B$32,0,IF(A8=Assumptions!$B$32+1,K7+G8,H8+G8)))</s:f>
        <s:v>0.0</s:v>
      </s:c>
      <s:c r="J8" s="21">
        <s:f>D8-H8</s:f>
        <s:v>625000.0</s:v>
      </s:c>
      <s:c r="K8" s="21">
        <s:f>IF(A8&lt;=Assumptions!$B$32,K7+G8,0)</s:f>
        <s:v>3416.6666666666715</s:v>
      </s:c>
      <s:c r="M8" s="64" t="n">
        <s:v>4</s:v>
      </s:c>
      <s:c r="N8" s="21">
        <s:f>SUMIF($C$5:$C$124,$M8,$E$5:$E$124)</s:f>
        <s:v>69902.91702716338</s:v>
      </s:c>
      <s:c r="O8" s="21">
        <s:f>SUMIF($C$5:$C$124,$M8,$F$5:$F$124)</s:f>
        <s:v>57382.99158946247</s:v>
      </s:c>
      <s:c r="P8" s="21">
        <s:f>SUMIF($C$5:$C$124,$M8,$G$5:$G$124)</s:f>
        <s:v>12519.925437700906</s:v>
      </s:c>
      <s:c r="Q8" s="21">
        <s:f>SUMIF($C$5:$C$124,$M8,$H$5:$H$124)</s:f>
        <s:v>50316.06157173713</s:v>
      </s:c>
      <s:c r="R8" s="21">
        <s:f>SUMIF($C$5:$C$124,$M8,$I$5:$I$124)</s:f>
        <s:v>62835.98700943803</s:v>
      </s:c>
      <s:c r="S8" s="21">
        <s:f>INDEX($J$5:$J$124,MATCH($M8*12,$A$5:$A$124,0))</s:f>
        <s:v>493854.3232606846</s:v>
      </s:c>
    </s:row>
    <s:row r="9">
      <s:c r="A9" s="64" t="n">
        <s:v>5</s:v>
      </s:c>
      <s:c r="B9" s="65">
        <s:f>EDATE(DATE(2026,6,17),A9)</s:f>
        <s:v>46343.0</s:v>
      </s:c>
      <s:c r="C9" s="64">
        <s:f>INT((A9-1)/12)+1</s:f>
        <s:v>1.0</s:v>
      </s:c>
      <s:c r="D9" s="21">
        <s:f>J8</s:f>
        <s:v>625000.0</s:v>
      </s:c>
      <s:c r="E9" s="21">
        <s:f>IF(A9&gt;Assumptions!$B$31,0,D9*IF(A9&lt;Assumptions!$B$37,Assumptions!$B$30,Assumptions!$B$36)/12)</s:f>
        <s:v>6583.333333333335</s:v>
      </s:c>
      <s:c r="F9" s="21">
        <s:f>IF(A9&gt;Assumptions!$B$35,0,MIN(E9,D9*Assumptions!$B$34/12))</s:f>
        <s:v>5729.166666666667</s:v>
      </s:c>
      <s:c r="G9" s="21">
        <s:f>E9-F9</s:f>
        <s:v>854.1666666666679</s:v>
      </s:c>
      <s:c r="H9" s="21">
        <s:f>IF(A9&gt;Assumptions!$B$31,0,IF(A9&lt;=Assumptions!$B$32+1,0,MIN(D9,PMT(IF(A9&lt;Assumptions!$B$37,Assumptions!$B$30,Assumptions!$B$36)/12,Assumptions!$B$31-A9+1,-D9)-E9)))</s:f>
        <s:v>0.0</s:v>
      </s:c>
      <s:c r="I9" s="21">
        <s:f>IF(A9&gt;Assumptions!$B$31,0,IF(A9&lt;=Assumptions!$B$32,0,IF(A9=Assumptions!$B$32+1,K8+G9,H9+G9)))</s:f>
        <s:v>0.0</s:v>
      </s:c>
      <s:c r="J9" s="21">
        <s:f>D9-H9</s:f>
        <s:v>625000.0</s:v>
      </s:c>
      <s:c r="K9" s="21">
        <s:f>IF(A9&lt;=Assumptions!$B$32,K8+G9,0)</s:f>
        <s:v>4270.833333333339</s:v>
      </s:c>
      <s:c r="M9" s="64" t="n">
        <s:v>5</s:v>
      </s:c>
      <s:c r="N9" s="21">
        <s:f>SUMIF($C$5:$C$124,$M9,$E$5:$E$124)</s:f>
        <s:v>62730.664248429326</s:v>
      </s:c>
      <s:c r="O9" s="21">
        <s:f>SUMIF($C$5:$C$124,$M9,$F$5:$F$124)</s:f>
        <s:v>0.0</s:v>
      </s:c>
      <s:c r="P9" s="21">
        <s:f>SUMIF($C$5:$C$124,$M9,$G$5:$G$124)</s:f>
        <s:v>62730.664248429326</s:v>
      </s:c>
      <s:c r="Q9" s="21">
        <s:f>SUMIF($C$5:$C$124,$M9,$H$5:$H$124)</s:f>
        <s:v>57488.31435047132</s:v>
      </s:c>
      <s:c r="R9" s="21">
        <s:f>SUMIF($C$5:$C$124,$M9,$I$5:$I$124)</s:f>
        <s:v>120218.97859890063</s:v>
      </s:c>
      <s:c r="S9" s="21">
        <s:f>INDEX($J$5:$J$124,MATCH($M9*12,$A$5:$A$124,0))</s:f>
        <s:v>436366.00891021336</s:v>
      </s:c>
    </s:row>
    <s:row r="10">
      <s:c r="A10" s="64" t="n">
        <s:v>6</s:v>
      </s:c>
      <s:c r="B10" s="65">
        <s:f>EDATE(DATE(2026,6,17),A10)</s:f>
        <s:v>46373.0</s:v>
      </s:c>
      <s:c r="C10" s="64">
        <s:f>INT((A10-1)/12)+1</s:f>
        <s:v>1.0</s:v>
      </s:c>
      <s:c r="D10" s="21">
        <s:f>J9</s:f>
        <s:v>625000.0</s:v>
      </s:c>
      <s:c r="E10" s="21">
        <s:f>IF(A10&gt;Assumptions!$B$31,0,D10*IF(A10&lt;Assumptions!$B$37,Assumptions!$B$30,Assumptions!$B$36)/12)</s:f>
        <s:v>6583.333333333335</s:v>
      </s:c>
      <s:c r="F10" s="21">
        <s:f>IF(A10&gt;Assumptions!$B$35,0,MIN(E10,D10*Assumptions!$B$34/12))</s:f>
        <s:v>5729.166666666667</s:v>
      </s:c>
      <s:c r="G10" s="21">
        <s:f>E10-F10</s:f>
        <s:v>854.1666666666679</s:v>
      </s:c>
      <s:c r="H10" s="21">
        <s:f>IF(A10&gt;Assumptions!$B$31,0,IF(A10&lt;=Assumptions!$B$32+1,0,MIN(D10,PMT(IF(A10&lt;Assumptions!$B$37,Assumptions!$B$30,Assumptions!$B$36)/12,Assumptions!$B$31-A10+1,-D10)-E10)))</s:f>
        <s:v>0.0</s:v>
      </s:c>
      <s:c r="I10" s="21">
        <s:f>IF(A10&gt;Assumptions!$B$31,0,IF(A10&lt;=Assumptions!$B$32,0,IF(A10=Assumptions!$B$32+1,K9+G10,H10+G10)))</s:f>
        <s:v>0.0</s:v>
      </s:c>
      <s:c r="J10" s="21">
        <s:f>D10-H10</s:f>
        <s:v>625000.0</s:v>
      </s:c>
      <s:c r="K10" s="21">
        <s:f>IF(A10&lt;=Assumptions!$B$32,K9+G10,0)</s:f>
        <s:v>5125.000000000007</s:v>
      </s:c>
      <s:c r="M10" s="64" t="n">
        <s:v>6</s:v>
      </s:c>
      <s:c r="N10" s="21">
        <s:f>SUMIF($C$5:$C$124,$M10,$E$5:$E$124)</s:f>
        <s:v>54536.04985562658</s:v>
      </s:c>
      <s:c r="O10" s="21">
        <s:f>SUMIF($C$5:$C$124,$M10,$F$5:$F$124)</s:f>
        <s:v>0.0</s:v>
      </s:c>
      <s:c r="P10" s="21">
        <s:f>SUMIF($C$5:$C$124,$M10,$G$5:$G$124)</s:f>
        <s:v>54536.04985562658</s:v>
      </s:c>
      <s:c r="Q10" s="21">
        <s:f>SUMIF($C$5:$C$124,$M10,$H$5:$H$124)</s:f>
        <s:v>65682.92874327421</s:v>
      </s:c>
      <s:c r="R10" s="21">
        <s:f>SUMIF($C$5:$C$124,$M10,$I$5:$I$124)</s:f>
        <s:v>120218.97859890078</s:v>
      </s:c>
      <s:c r="S10" s="21">
        <s:f>INDEX($J$5:$J$124,MATCH($M10*12,$A$5:$A$124,0))</s:f>
        <s:v>370683.0801669391</s:v>
      </s:c>
    </s:row>
    <s:row r="11">
      <s:c r="A11" s="64" t="n">
        <s:v>7</s:v>
      </s:c>
      <s:c r="B11" s="65">
        <s:f>EDATE(DATE(2026,6,17),A11)</s:f>
        <s:v>46404.0</s:v>
      </s:c>
      <s:c r="C11" s="64">
        <s:f>INT((A11-1)/12)+1</s:f>
        <s:v>1.0</s:v>
      </s:c>
      <s:c r="D11" s="21">
        <s:f>J10</s:f>
        <s:v>625000.0</s:v>
      </s:c>
      <s:c r="E11" s="21">
        <s:f>IF(A11&gt;Assumptions!$B$31,0,D11*IF(A11&lt;Assumptions!$B$37,Assumptions!$B$30,Assumptions!$B$36)/12)</s:f>
        <s:v>6583.333333333335</s:v>
      </s:c>
      <s:c r="F11" s="21">
        <s:f>IF(A11&gt;Assumptions!$B$35,0,MIN(E11,D11*Assumptions!$B$34/12))</s:f>
        <s:v>5729.166666666667</s:v>
      </s:c>
      <s:c r="G11" s="21">
        <s:f>E11-F11</s:f>
        <s:v>854.1666666666679</s:v>
      </s:c>
      <s:c r="H11" s="21">
        <s:f>IF(A11&gt;Assumptions!$B$31,0,IF(A11&lt;=Assumptions!$B$32+1,0,MIN(D11,PMT(IF(A11&lt;Assumptions!$B$37,Assumptions!$B$30,Assumptions!$B$36)/12,Assumptions!$B$31-A11+1,-D11)-E11)))</s:f>
        <s:v>0.0</s:v>
      </s:c>
      <s:c r="I11" s="21">
        <s:f>IF(A11&gt;Assumptions!$B$31,0,IF(A11&lt;=Assumptions!$B$32,0,IF(A11=Assumptions!$B$32+1,K10+G11,H11+G11)))</s:f>
        <s:v>0.0</s:v>
      </s:c>
      <s:c r="J11" s="21">
        <s:f>D11-H11</s:f>
        <s:v>625000.0</s:v>
      </s:c>
      <s:c r="K11" s="21">
        <s:f>IF(A11&lt;=Assumptions!$B$32,K10+G11,0)</s:f>
        <s:v>5979.166666666675</s:v>
      </s:c>
      <s:c r="M11" s="64" t="n">
        <s:v>7</s:v>
      </s:c>
      <s:c r="N11" s="21">
        <s:f>SUMIF($C$5:$C$124,$M11,$E$5:$E$124)</s:f>
        <s:v>45173.342332847074</s:v>
      </s:c>
      <s:c r="O11" s="21">
        <s:f>SUMIF($C$5:$C$124,$M11,$F$5:$F$124)</s:f>
        <s:v>0.0</s:v>
      </s:c>
      <s:c r="P11" s="21">
        <s:f>SUMIF($C$5:$C$124,$M11,$G$5:$G$124)</s:f>
        <s:v>45173.342332847074</s:v>
      </s:c>
      <s:c r="Q11" s="21">
        <s:f>SUMIF($C$5:$C$124,$M11,$H$5:$H$124)</s:f>
        <s:v>75045.63626605393</s:v>
      </s:c>
      <s:c r="R11" s="21">
        <s:f>SUMIF($C$5:$C$124,$M11,$I$5:$I$124)</s:f>
        <s:v>120218.97859890101</s:v>
      </s:c>
      <s:c r="S11" s="21">
        <s:f>INDEX($J$5:$J$124,MATCH($M11*12,$A$5:$A$124,0))</s:f>
        <s:v>295637.4439008853</s:v>
      </s:c>
    </s:row>
    <s:row r="12">
      <s:c r="A12" s="64" t="n">
        <s:v>8</s:v>
      </s:c>
      <s:c r="B12" s="65">
        <s:f>EDATE(DATE(2026,6,17),A12)</s:f>
        <s:v>46435.0</s:v>
      </s:c>
      <s:c r="C12" s="64">
        <s:f>INT((A12-1)/12)+1</s:f>
        <s:v>1.0</s:v>
      </s:c>
      <s:c r="D12" s="21">
        <s:f>J11</s:f>
        <s:v>625000.0</s:v>
      </s:c>
      <s:c r="E12" s="21">
        <s:f>IF(A12&gt;Assumptions!$B$31,0,D12*IF(A12&lt;Assumptions!$B$37,Assumptions!$B$30,Assumptions!$B$36)/12)</s:f>
        <s:v>6583.333333333335</s:v>
      </s:c>
      <s:c r="F12" s="21">
        <s:f>IF(A12&gt;Assumptions!$B$35,0,MIN(E12,D12*Assumptions!$B$34/12))</s:f>
        <s:v>5729.166666666667</s:v>
      </s:c>
      <s:c r="G12" s="21">
        <s:f>E12-F12</s:f>
        <s:v>854.1666666666679</s:v>
      </s:c>
      <s:c r="H12" s="21">
        <s:f>IF(A12&gt;Assumptions!$B$31,0,IF(A12&lt;=Assumptions!$B$32+1,0,MIN(D12,PMT(IF(A12&lt;Assumptions!$B$37,Assumptions!$B$30,Assumptions!$B$36)/12,Assumptions!$B$31-A12+1,-D12)-E12)))</s:f>
        <s:v>0.0</s:v>
      </s:c>
      <s:c r="I12" s="21">
        <s:f>IF(A12&gt;Assumptions!$B$31,0,IF(A12&lt;=Assumptions!$B$32,0,IF(A12=Assumptions!$B$32+1,K11+G12,H12+G12)))</s:f>
        <s:v>0.0</s:v>
      </s:c>
      <s:c r="J12" s="21">
        <s:f>D12-H12</s:f>
        <s:v>625000.0</s:v>
      </s:c>
      <s:c r="K12" s="21">
        <s:f>IF(A12&lt;=Assumptions!$B$32,K11+G12,0)</s:f>
        <s:v>6833.333333333343</s:v>
      </s:c>
      <s:c r="M12" s="64" t="n">
        <s:v>8</s:v>
      </s:c>
      <s:c r="N12" s="21">
        <s:f>SUMIF($C$5:$C$124,$M12,$E$5:$E$124)</s:f>
        <s:v>34476.03701069506</s:v>
      </s:c>
      <s:c r="O12" s="21">
        <s:f>SUMIF($C$5:$C$124,$M12,$F$5:$F$124)</s:f>
        <s:v>0.0</s:v>
      </s:c>
      <s:c r="P12" s="21">
        <s:f>SUMIF($C$5:$C$124,$M12,$G$5:$G$124)</s:f>
        <s:v>34476.03701069506</s:v>
      </s:c>
      <s:c r="Q12" s="21">
        <s:f>SUMIF($C$5:$C$124,$M12,$H$5:$H$124)</s:f>
        <s:v>85742.9415882063</s:v>
      </s:c>
      <s:c r="R12" s="21">
        <s:f>SUMIF($C$5:$C$124,$M12,$I$5:$I$124)</s:f>
        <s:v>120218.97859890133</s:v>
      </s:c>
      <s:c r="S12" s="21">
        <s:f>INDEX($J$5:$J$124,MATCH($M12*12,$A$5:$A$124,0))</s:f>
        <s:v>209894.50231267902</s:v>
      </s:c>
    </s:row>
    <s:row r="13">
      <s:c r="A13" s="64" t="n">
        <s:v>9</s:v>
      </s:c>
      <s:c r="B13" s="65">
        <s:f>EDATE(DATE(2026,6,17),A13)</s:f>
        <s:v>46463.0</s:v>
      </s:c>
      <s:c r="C13" s="64">
        <s:f>INT((A13-1)/12)+1</s:f>
        <s:v>1.0</s:v>
      </s:c>
      <s:c r="D13" s="21">
        <s:f>J12</s:f>
        <s:v>625000.0</s:v>
      </s:c>
      <s:c r="E13" s="21">
        <s:f>IF(A13&gt;Assumptions!$B$31,0,D13*IF(A13&lt;Assumptions!$B$37,Assumptions!$B$30,Assumptions!$B$36)/12)</s:f>
        <s:v>6583.333333333335</s:v>
      </s:c>
      <s:c r="F13" s="21">
        <s:f>IF(A13&gt;Assumptions!$B$35,0,MIN(E13,D13*Assumptions!$B$34/12))</s:f>
        <s:v>5729.166666666667</s:v>
      </s:c>
      <s:c r="G13" s="21">
        <s:f>E13-F13</s:f>
        <s:v>854.1666666666679</s:v>
      </s:c>
      <s:c r="H13" s="21">
        <s:f>IF(A13&gt;Assumptions!$B$31,0,IF(A13&lt;=Assumptions!$B$32+1,0,MIN(D13,PMT(IF(A13&lt;Assumptions!$B$37,Assumptions!$B$30,Assumptions!$B$36)/12,Assumptions!$B$31-A13+1,-D13)-E13)))</s:f>
        <s:v>0.0</s:v>
      </s:c>
      <s:c r="I13" s="21">
        <s:f>IF(A13&gt;Assumptions!$B$31,0,IF(A13&lt;=Assumptions!$B$32,0,IF(A13=Assumptions!$B$32+1,K12+G13,H13+G13)))</s:f>
        <s:v>0.0</s:v>
      </s:c>
      <s:c r="J13" s="21">
        <s:f>D13-H13</s:f>
        <s:v>625000.0</s:v>
      </s:c>
      <s:c r="K13" s="21">
        <s:f>IF(A13&lt;=Assumptions!$B$32,K12+G13,0)</s:f>
        <s:v>7687.500000000011</s:v>
      </s:c>
      <s:c r="M13" s="64" t="n">
        <s:v>9</s:v>
      </s:c>
      <s:c r="N13" s="21">
        <s:f>SUMIF($C$5:$C$124,$M13,$E$5:$E$124)</s:f>
        <s:v>22253.89497785599</s:v>
      </s:c>
      <s:c r="O13" s="21">
        <s:f>SUMIF($C$5:$C$124,$M13,$F$5:$F$124)</s:f>
        <s:v>0.0</s:v>
      </s:c>
      <s:c r="P13" s="21">
        <s:f>SUMIF($C$5:$C$124,$M13,$G$5:$G$124)</s:f>
        <s:v>22253.89497785599</s:v>
      </s:c>
      <s:c r="Q13" s="21">
        <s:f>SUMIF($C$5:$C$124,$M13,$H$5:$H$124)</s:f>
        <s:v>97965.08362104584</s:v>
      </s:c>
      <s:c r="R13" s="21">
        <s:f>SUMIF($C$5:$C$124,$M13,$I$5:$I$124)</s:f>
        <s:v>120218.97859890181</s:v>
      </s:c>
      <s:c r="S13" s="21">
        <s:f>INDEX($J$5:$J$124,MATCH($M13*12,$A$5:$A$124,0))</s:f>
        <s:v>111929.41869163317</s:v>
      </s:c>
    </s:row>
    <s:row r="14">
      <s:c r="A14" s="64" t="n">
        <s:v>10</s:v>
      </s:c>
      <s:c r="B14" s="65">
        <s:f>EDATE(DATE(2026,6,17),A14)</s:f>
        <s:v>46494.0</s:v>
      </s:c>
      <s:c r="C14" s="64">
        <s:f>INT((A14-1)/12)+1</s:f>
        <s:v>1.0</s:v>
      </s:c>
      <s:c r="D14" s="21">
        <s:f>J13</s:f>
        <s:v>625000.0</s:v>
      </s:c>
      <s:c r="E14" s="21">
        <s:f>IF(A14&gt;Assumptions!$B$31,0,D14*IF(A14&lt;Assumptions!$B$37,Assumptions!$B$30,Assumptions!$B$36)/12)</s:f>
        <s:v>6583.333333333335</s:v>
      </s:c>
      <s:c r="F14" s="21">
        <s:f>IF(A14&gt;Assumptions!$B$35,0,MIN(E14,D14*Assumptions!$B$34/12))</s:f>
        <s:v>5729.166666666667</s:v>
      </s:c>
      <s:c r="G14" s="21">
        <s:f>E14-F14</s:f>
        <s:v>854.1666666666679</s:v>
      </s:c>
      <s:c r="H14" s="21">
        <s:f>IF(A14&gt;Assumptions!$B$31,0,IF(A14&lt;=Assumptions!$B$32+1,0,MIN(D14,PMT(IF(A14&lt;Assumptions!$B$37,Assumptions!$B$30,Assumptions!$B$36)/12,Assumptions!$B$31-A14+1,-D14)-E14)))</s:f>
        <s:v>0.0</s:v>
      </s:c>
      <s:c r="I14" s="21">
        <s:f>IF(A14&gt;Assumptions!$B$31,0,IF(A14&lt;=Assumptions!$B$32,0,IF(A14=Assumptions!$B$32+1,K13+G14,H14+G14)))</s:f>
        <s:v>0.0</s:v>
      </s:c>
      <s:c r="J14" s="21">
        <s:f>D14-H14</s:f>
        <s:v>625000.0</s:v>
      </s:c>
      <s:c r="K14" s="21">
        <s:f>IF(A14&lt;=Assumptions!$B$32,K13+G14,0)</s:f>
        <s:v>8541.666666666679</s:v>
      </s:c>
      <s:c r="M14" s="64" t="n">
        <s:v>10</s:v>
      </s:c>
      <s:c r="N14" s="21">
        <s:f>SUMIF($C$5:$C$124,$M14,$E$5:$E$124)</s:f>
        <s:v>8289.559907270177</s:v>
      </s:c>
      <s:c r="O14" s="21">
        <s:f>SUMIF($C$5:$C$124,$M14,$F$5:$F$124)</s:f>
        <s:v>0.0</s:v>
      </s:c>
      <s:c r="P14" s="21">
        <s:f>SUMIF($C$5:$C$124,$M14,$G$5:$G$124)</s:f>
        <s:v>8289.559907270177</s:v>
      </s:c>
      <s:c r="Q14" s="21">
        <s:f>SUMIF($C$5:$C$124,$M14,$H$5:$H$124)</s:f>
        <s:v>111929.4186916331</s:v>
      </s:c>
      <s:c r="R14" s="21">
        <s:f>SUMIF($C$5:$C$124,$M14,$I$5:$I$124)</s:f>
        <s:v>120218.97859890325</s:v>
      </s:c>
      <s:c r="S14" s="21">
        <s:f>INDEX($J$5:$J$124,MATCH($M14*12,$A$5:$A$124,0))</s:f>
        <s:v>8.913048077374697e-11</s:v>
      </s:c>
    </s:row>
    <s:row r="15">
      <s:c r="A15" s="64" t="n">
        <s:v>11</s:v>
      </s:c>
      <s:c r="B15" s="65">
        <s:f>EDATE(DATE(2026,6,17),A15)</s:f>
        <s:v>46524.0</s:v>
      </s:c>
      <s:c r="C15" s="64">
        <s:f>INT((A15-1)/12)+1</s:f>
        <s:v>1.0</s:v>
      </s:c>
      <s:c r="D15" s="21">
        <s:f>J14</s:f>
        <s:v>625000.0</s:v>
      </s:c>
      <s:c r="E15" s="21">
        <s:f>IF(A15&gt;Assumptions!$B$31,0,D15*IF(A15&lt;Assumptions!$B$37,Assumptions!$B$30,Assumptions!$B$36)/12)</s:f>
        <s:v>6583.333333333335</s:v>
      </s:c>
      <s:c r="F15" s="21">
        <s:f>IF(A15&gt;Assumptions!$B$35,0,MIN(E15,D15*Assumptions!$B$34/12))</s:f>
        <s:v>5729.166666666667</s:v>
      </s:c>
      <s:c r="G15" s="21">
        <s:f>E15-F15</s:f>
        <s:v>854.1666666666679</s:v>
      </s:c>
      <s:c r="H15" s="21">
        <s:f>IF(A15&gt;Assumptions!$B$31,0,IF(A15&lt;=Assumptions!$B$32+1,0,MIN(D15,PMT(IF(A15&lt;Assumptions!$B$37,Assumptions!$B$30,Assumptions!$B$36)/12,Assumptions!$B$31-A15+1,-D15)-E15)))</s:f>
        <s:v>0.0</s:v>
      </s:c>
      <s:c r="I15" s="21">
        <s:f>IF(A15&gt;Assumptions!$B$31,0,IF(A15&lt;=Assumptions!$B$32,0,IF(A15=Assumptions!$B$32+1,K14+G15,H15+G15)))</s:f>
        <s:v>0.0</s:v>
      </s:c>
      <s:c r="J15" s="21">
        <s:f>D15-H15</s:f>
        <s:v>625000.0</s:v>
      </s:c>
      <s:c r="K15" s="21">
        <s:f>IF(A15&lt;=Assumptions!$B$32,K14+G15,0)</s:f>
        <s:v>9395.833333333347</s:v>
      </s:c>
      <s:c r="M15" s="26" t="inlineStr">
        <s:is>
          <s:t>სულ / TOTAL</s:t>
        </s:is>
      </s:c>
      <s:c r="N15" s="27">
        <s:f>SUM(N5:N14)</s:f>
        <s:v>530014.137766147</s:v>
      </s:c>
      <s:c r="O15" s="27">
        <s:f>SUM(O5:O14)</s:f>
        <s:v>255762.68494795146</s:v>
      </s:c>
      <s:c r="P15" s="27">
        <s:f>SUM(P5:P14)</s:f>
        <s:v>274251.4528181956</s:v>
      </s:c>
      <s:c r="Q15" s="27">
        <s:f>SUM(Q5:Q14)</s:f>
        <s:v>625000.0000000005</s:v>
      </s:c>
      <s:c r="R15" s="27">
        <s:f>SUM(R5:R14)</s:f>
        <s:v>899251.4528181959</s:v>
      </s:c>
      <s:c r="S15" s="29" t="inlineStr"/>
    </s:row>
    <s:row r="16">
      <s:c r="A16" s="64" t="n">
        <s:v>12</s:v>
      </s:c>
      <s:c r="B16" s="65">
        <s:f>EDATE(DATE(2026,6,17),A16)</s:f>
        <s:v>46555.0</s:v>
      </s:c>
      <s:c r="C16" s="64">
        <s:f>INT((A16-1)/12)+1</s:f>
        <s:v>1.0</s:v>
      </s:c>
      <s:c r="D16" s="21">
        <s:f>J15</s:f>
        <s:v>625000.0</s:v>
      </s:c>
      <s:c r="E16" s="21">
        <s:f>IF(A16&gt;Assumptions!$B$31,0,D16*IF(A16&lt;Assumptions!$B$37,Assumptions!$B$30,Assumptions!$B$36)/12)</s:f>
        <s:v>6583.333333333335</s:v>
      </s:c>
      <s:c r="F16" s="21">
        <s:f>IF(A16&gt;Assumptions!$B$35,0,MIN(E16,D16*Assumptions!$B$34/12))</s:f>
        <s:v>5729.166666666667</s:v>
      </s:c>
      <s:c r="G16" s="21">
        <s:f>E16-F16</s:f>
        <s:v>854.1666666666679</s:v>
      </s:c>
      <s:c r="H16" s="21">
        <s:f>IF(A16&gt;Assumptions!$B$31,0,IF(A16&lt;=Assumptions!$B$32+1,0,MIN(D16,PMT(IF(A16&lt;Assumptions!$B$37,Assumptions!$B$30,Assumptions!$B$36)/12,Assumptions!$B$31-A16+1,-D16)-E16)))</s:f>
        <s:v>0.0</s:v>
      </s:c>
      <s:c r="I16" s="21">
        <s:f>IF(A16&gt;Assumptions!$B$31,0,IF(A16&lt;=Assumptions!$B$32,0,IF(A16=Assumptions!$B$32+1,K15+G16,H16+G16)))</s:f>
        <s:v>0.0</s:v>
      </s:c>
      <s:c r="J16" s="21">
        <s:f>D16-H16</s:f>
        <s:v>625000.0</s:v>
      </s:c>
      <s:c r="K16" s="21">
        <s:f>IF(A16&lt;=Assumptions!$B$32,K15+G16,0)</s:f>
        <s:v>10250.000000000015</s:v>
      </s:c>
    </s:row>
    <s:row r="17">
      <s:c r="A17" s="64" t="n">
        <s:v>13</s:v>
      </s:c>
      <s:c r="B17" s="65">
        <s:f>EDATE(DATE(2026,6,17),A17)</s:f>
        <s:v>46585.0</s:v>
      </s:c>
      <s:c r="C17" s="64">
        <s:f>INT((A17-1)/12)+1</s:f>
        <s:v>2.0</s:v>
      </s:c>
      <s:c r="D17" s="21">
        <s:f>J16</s:f>
        <s:v>625000.0</s:v>
      </s:c>
      <s:c r="E17" s="21">
        <s:f>IF(A17&gt;Assumptions!$B$31,0,D17*IF(A17&lt;Assumptions!$B$37,Assumptions!$B$30,Assumptions!$B$36)/12)</s:f>
        <s:v>6583.333333333335</s:v>
      </s:c>
      <s:c r="F17" s="21">
        <s:f>IF(A17&gt;Assumptions!$B$35,0,MIN(E17,D17*Assumptions!$B$34/12))</s:f>
        <s:v>5729.166666666667</s:v>
      </s:c>
      <s:c r="G17" s="21">
        <s:f>E17-F17</s:f>
        <s:v>854.1666666666679</s:v>
      </s:c>
      <s:c r="H17" s="21">
        <s:f>IF(A17&gt;Assumptions!$B$31,0,IF(A17&lt;=Assumptions!$B$32+1,0,MIN(D17,PMT(IF(A17&lt;Assumptions!$B$37,Assumptions!$B$30,Assumptions!$B$36)/12,Assumptions!$B$31-A17+1,-D17)-E17)))</s:f>
        <s:v>0.0</s:v>
      </s:c>
      <s:c r="I17" s="21">
        <s:f>IF(A17&gt;Assumptions!$B$31,0,IF(A17&lt;=Assumptions!$B$32,0,IF(A17=Assumptions!$B$32+1,K16+G17,H17+G17)))</s:f>
        <s:v>11104.166666666682</s:v>
      </s:c>
      <s:c r="J17" s="21">
        <s:f>D17-H17</s:f>
        <s:v>625000.0</s:v>
      </s:c>
      <s:c r="K17" s="21">
        <s:f>IF(A17&lt;=Assumptions!$B$32,K16+G17,0)</s:f>
        <s:v>0.0</s:v>
      </s:c>
      <s:c r="M17" s="10" t="inlineStr">
        <s:is>
          <s:t>შედარება ბანკის გრაფიკთან (დანართი #1) / CROSS-CHECK vs THE BANK'S OWN SCHEDULE</s:t>
        </s:is>
      </s:c>
      <s:c r="N17" s="11" t="n"/>
      <s:c r="O17" s="11" t="n"/>
      <s:c r="P17" s="11" t="n"/>
      <s:c r="Q17" s="11" t="n"/>
      <s:c r="R17" s="11" t="n"/>
      <s:c r="S17" s="11" t="n"/>
    </s:row>
    <s:row r="18">
      <s:c r="A18" s="64" t="n">
        <s:v>14</s:v>
      </s:c>
      <s:c r="B18" s="65">
        <s:f>EDATE(DATE(2026,6,17),A18)</s:f>
        <s:v>46616.0</s:v>
      </s:c>
      <s:c r="C18" s="64">
        <s:f>INT((A18-1)/12)+1</s:f>
        <s:v>2.0</s:v>
      </s:c>
      <s:c r="D18" s="21">
        <s:f>J17</s:f>
        <s:v>625000.0</s:v>
      </s:c>
      <s:c r="E18" s="21">
        <s:f>IF(A18&gt;Assumptions!$B$31,0,D18*IF(A18&lt;Assumptions!$B$37,Assumptions!$B$30,Assumptions!$B$36)/12)</s:f>
        <s:v>6583.333333333335</s:v>
      </s:c>
      <s:c r="F18" s="21">
        <s:f>IF(A18&gt;Assumptions!$B$35,0,MIN(E18,D18*Assumptions!$B$34/12))</s:f>
        <s:v>5729.166666666667</s:v>
      </s:c>
      <s:c r="G18" s="21">
        <s:f>E18-F18</s:f>
        <s:v>854.1666666666679</s:v>
      </s:c>
      <s:c r="H18" s="21">
        <s:f>IF(A18&gt;Assumptions!$B$31,0,IF(A18&lt;=Assumptions!$B$32+1,0,MIN(D18,PMT(IF(A18&lt;Assumptions!$B$37,Assumptions!$B$30,Assumptions!$B$36)/12,Assumptions!$B$31-A18+1,-D18)-E18)))</s:f>
        <s:v>3182.7394091696015</s:v>
      </s:c>
      <s:c r="I18" s="21">
        <s:f>IF(A18&gt;Assumptions!$B$31,0,IF(A18&lt;=Assumptions!$B$32,0,IF(A18=Assumptions!$B$32+1,K17+G18,H18+G18)))</s:f>
        <s:v>4036.9060758362693</s:v>
      </s:c>
      <s:c r="J18" s="21">
        <s:f>D18-H18</s:f>
        <s:v>621817.2605908304</s:v>
      </s:c>
      <s:c r="K18" s="21">
        <s:f>IF(A18&lt;=Assumptions!$B$32,K17+G18,0)</s:f>
        <s:v>0.0</s:v>
      </s:c>
      <s:c r="M18" s="62" t="inlineStr">
        <s:is>
          <s:t>მაჩვენებელი / Item</s:t>
        </s:is>
      </s:c>
      <s:c r="P18" s="12" t="inlineStr">
        <s:is>
          <s:t>ბანკის გრაფიკი / Bank</s:t>
        </s:is>
      </s:c>
      <s:c r="Q18" s="12" t="inlineStr">
        <s:is>
          <s:t>მოდელი / Model</s:t>
        </s:is>
      </s:c>
      <s:c r="R18" s="12" t="inlineStr">
        <s:is>
          <s:t>სხვაობა / Diff</s:t>
        </s:is>
      </s:c>
    </s:row>
    <s:row r="19">
      <s:c r="A19" s="64" t="n">
        <s:v>15</s:v>
      </s:c>
      <s:c r="B19" s="65">
        <s:f>EDATE(DATE(2026,6,17),A19)</s:f>
        <s:v>46647.0</s:v>
      </s:c>
      <s:c r="C19" s="64">
        <s:f>INT((A19-1)/12)+1</s:f>
        <s:v>2.0</s:v>
      </s:c>
      <s:c r="D19" s="21">
        <s:f>J18</s:f>
        <s:v>621817.2605908304</s:v>
      </s:c>
      <s:c r="E19" s="21">
        <s:f>IF(A19&gt;Assumptions!$B$31,0,D19*IF(A19&lt;Assumptions!$B$37,Assumptions!$B$30,Assumptions!$B$36)/12)</s:f>
        <s:v>6549.808478223414</s:v>
      </s:c>
      <s:c r="F19" s="21">
        <s:f>IF(A19&gt;Assumptions!$B$35,0,MIN(E19,D19*Assumptions!$B$34/12))</s:f>
        <s:v>5699.991555415945</s:v>
      </s:c>
      <s:c r="G19" s="21">
        <s:f>E19-F19</s:f>
        <s:v>849.8169228074685</s:v>
      </s:c>
      <s:c r="H19" s="21">
        <s:f>IF(A19&gt;Assumptions!$B$31,0,IF(A19&lt;=Assumptions!$B$32+1,0,MIN(D19,PMT(IF(A19&lt;Assumptions!$B$37,Assumptions!$B$30,Assumptions!$B$36)/12,Assumptions!$B$31-A19+1,-D19)-E19)))</s:f>
        <s:v>3216.2642642795226</s:v>
      </s:c>
      <s:c r="I19" s="21">
        <s:f>IF(A19&gt;Assumptions!$B$31,0,IF(A19&lt;=Assumptions!$B$32,0,IF(A19=Assumptions!$B$32+1,K18+G19,H19+G19)))</s:f>
        <s:v>4066.081187086991</s:v>
      </s:c>
      <s:c r="J19" s="21">
        <s:f>D19-H19</s:f>
        <s:v>618600.9963265508</s:v>
      </s:c>
      <s:c r="K19" s="21">
        <s:f>IF(A19&lt;=Assumptions!$B$32,K18+G19,0)</s:f>
        <s:v>0.0</s:v>
      </s:c>
      <s:c r="M19" s="20" t="inlineStr">
        <s:is>
          <s:t>სულ ძირი / Total principal</s:t>
        </s:is>
      </s:c>
      <s:c r="P19" s="57" t="n">
        <s:v>625000</s:v>
      </s:c>
      <s:c r="Q19" s="21">
        <s:f>H125</s:f>
        <s:v>625000.0000000002</s:v>
      </s:c>
      <s:c r="R19" s="18">
        <s:f>Q19-P19</s:f>
        <s:v>2.3283064365386963e-10</s:v>
      </s:c>
    </s:row>
    <s:row r="20">
      <s:c r="A20" s="64" t="n">
        <s:v>16</s:v>
      </s:c>
      <s:c r="B20" s="65">
        <s:f>EDATE(DATE(2026,6,17),A20)</s:f>
        <s:v>46677.0</s:v>
      </s:c>
      <s:c r="C20" s="64">
        <s:f>INT((A20-1)/12)+1</s:f>
        <s:v>2.0</s:v>
      </s:c>
      <s:c r="D20" s="21">
        <s:f>J19</s:f>
        <s:v>618600.9963265508</s:v>
      </s:c>
      <s:c r="E20" s="21">
        <s:f>IF(A20&gt;Assumptions!$B$31,0,D20*IF(A20&lt;Assumptions!$B$37,Assumptions!$B$30,Assumptions!$B$36)/12)</s:f>
        <s:v>6515.93049463967</s:v>
      </s:c>
      <s:c r="F20" s="21">
        <s:f>IF(A20&gt;Assumptions!$B$35,0,MIN(E20,D20*Assumptions!$B$34/12))</s:f>
        <s:v>5670.509132993383</s:v>
      </s:c>
      <s:c r="G20" s="21">
        <s:f>E20-F20</s:f>
        <s:v>845.4213616462866</s:v>
      </s:c>
      <s:c r="H20" s="21">
        <s:f>IF(A20&gt;Assumptions!$B$31,0,IF(A20&lt;=Assumptions!$B$32+1,0,MIN(D20,PMT(IF(A20&lt;Assumptions!$B$37,Assumptions!$B$30,Assumptions!$B$36)/12,Assumptions!$B$31-A20+1,-D20)-E20)))</s:f>
        <s:v>3250.1422478632667</s:v>
      </s:c>
      <s:c r="I20" s="21">
        <s:f>IF(A20&gt;Assumptions!$B$31,0,IF(A20&lt;=Assumptions!$B$32,0,IF(A20=Assumptions!$B$32+1,K19+G20,H20+G20)))</s:f>
        <s:v>4095.5636095095533</s:v>
      </s:c>
      <s:c r="J20" s="21">
        <s:f>D20-H20</s:f>
        <s:v>615350.8540786876</s:v>
      </s:c>
      <s:c r="K20" s="21">
        <s:f>IF(A20&lt;=Assumptions!$B$32,K19+G20,0)</s:f>
        <s:v>0.0</s:v>
      </s:c>
      <s:c r="M20" s="20" t="inlineStr">
        <s:is>
          <s:t>სულ პროცენტი / Total interest</s:t>
        </s:is>
      </s:c>
      <s:c r="P20" s="57" t="n">
        <s:v>529681.25</s:v>
      </s:c>
      <s:c r="Q20" s="21">
        <s:f>E125</s:f>
        <s:v>530014.137766147</s:v>
      </s:c>
      <s:c r="R20" s="18">
        <s:f>Q20-P20</s:f>
        <s:v>332.8877661470324</s:v>
      </s:c>
    </s:row>
    <s:row r="21">
      <s:c r="A21" s="64" t="n">
        <s:v>17</s:v>
      </s:c>
      <s:c r="B21" s="65">
        <s:f>EDATE(DATE(2026,6,17),A21)</s:f>
        <s:v>46708.0</s:v>
      </s:c>
      <s:c r="C21" s="64">
        <s:f>INT((A21-1)/12)+1</s:f>
        <s:v>2.0</s:v>
      </s:c>
      <s:c r="D21" s="21">
        <s:f>J20</s:f>
        <s:v>615350.8540786876</s:v>
      </s:c>
      <s:c r="E21" s="21">
        <s:f>IF(A21&gt;Assumptions!$B$31,0,D21*IF(A21&lt;Assumptions!$B$37,Assumptions!$B$30,Assumptions!$B$36)/12)</s:f>
        <s:v>6481.695662962177</s:v>
      </s:c>
      <s:c r="F21" s="21">
        <s:f>IF(A21&gt;Assumptions!$B$35,0,MIN(E21,D21*Assumptions!$B$34/12))</s:f>
        <s:v>5640.716162387969</s:v>
      </s:c>
      <s:c r="G21" s="21">
        <s:f>E21-F21</s:f>
        <s:v>840.979500574208</s:v>
      </s:c>
      <s:c r="H21" s="21">
        <s:f>IF(A21&gt;Assumptions!$B$31,0,IF(A21&lt;=Assumptions!$B$32+1,0,MIN(D21,PMT(IF(A21&lt;Assumptions!$B$37,Assumptions!$B$30,Assumptions!$B$36)/12,Assumptions!$B$31-A21+1,-D21)-E21)))</s:f>
        <s:v>3284.377079540757</s:v>
      </s:c>
      <s:c r="I21" s="21">
        <s:f>IF(A21&gt;Assumptions!$B$31,0,IF(A21&lt;=Assumptions!$B$32,0,IF(A21=Assumptions!$B$32+1,K20+G21,H21+G21)))</s:f>
        <s:v>4125.356580114965</s:v>
      </s:c>
      <s:c r="J21" s="21">
        <s:f>D21-H21</s:f>
        <s:v>612066.4769991469</s:v>
      </s:c>
      <s:c r="K21" s="21">
        <s:f>IF(A21&lt;=Assumptions!$B$32,K20+G21,0)</s:f>
        <s:v>0.0</s:v>
      </s:c>
      <s:c r="M21" s="20" t="inlineStr">
        <s:is>
          <s:t>სულ გადასახდელი / Total repayable</s:t>
        </s:is>
      </s:c>
      <s:c r="P21" s="57" t="n">
        <s:v>1154681.25</s:v>
      </s:c>
      <s:c r="Q21" s="21">
        <s:f>Q19+Q20</s:f>
        <s:v>1155014.1377661473</s:v>
      </s:c>
      <s:c r="R21" s="18">
        <s:f>Q21-P21</s:f>
        <s:v>332.8877661472652</s:v>
      </s:c>
    </s:row>
    <s:row r="22">
      <s:c r="A22" s="64" t="n">
        <s:v>18</s:v>
      </s:c>
      <s:c r="B22" s="65">
        <s:f>EDATE(DATE(2026,6,17),A22)</s:f>
        <s:v>46738.0</s:v>
      </s:c>
      <s:c r="C22" s="64">
        <s:f>INT((A22-1)/12)+1</s:f>
        <s:v>2.0</s:v>
      </s:c>
      <s:c r="D22" s="21">
        <s:f>J21</s:f>
        <s:v>612066.4769991469</s:v>
      </s:c>
      <s:c r="E22" s="21">
        <s:f>IF(A22&gt;Assumptions!$B$31,0,D22*IF(A22&lt;Assumptions!$B$37,Assumptions!$B$30,Assumptions!$B$36)/12)</s:f>
        <s:v>6447.100224391014</s:v>
      </s:c>
      <s:c r="F22" s="21">
        <s:f>IF(A22&gt;Assumptions!$B$35,0,MIN(E22,D22*Assumptions!$B$34/12))</s:f>
        <s:v>5610.60937249218</s:v>
      </s:c>
      <s:c r="G22" s="21">
        <s:f>E22-F22</s:f>
        <s:v>836.4908518988341</s:v>
      </s:c>
      <s:c r="H22" s="21">
        <s:f>IF(A22&gt;Assumptions!$B$31,0,IF(A22&lt;=Assumptions!$B$32+1,0,MIN(D22,PMT(IF(A22&lt;Assumptions!$B$37,Assumptions!$B$30,Assumptions!$B$36)/12,Assumptions!$B$31-A22+1,-D22)-E22)))</s:f>
        <s:v>3318.97251811192</s:v>
      </s:c>
      <s:c r="I22" s="21">
        <s:f>IF(A22&gt;Assumptions!$B$31,0,IF(A22&lt;=Assumptions!$B$32,0,IF(A22=Assumptions!$B$32+1,K21+G22,H22+G22)))</s:f>
        <s:v>4155.463370010754</s:v>
      </s:c>
      <s:c r="J22" s="21">
        <s:f>D22-H22</s:f>
        <s:v>608747.5044810349</s:v>
      </s:c>
      <s:c r="K22" s="21">
        <s:f>IF(A22&lt;=Assumptions!$B$32,K21+G22,0)</s:f>
        <s:v>0.0</s:v>
      </s:c>
      <s:c r="M22" s="2" t="inlineStr">
        <s:is>
          <s:t>ბანკის გრაფიკი დანართ #1-ში 1,000-ზეა დაყვანილი (სულ ძირი 1,000.00, პროცენტი 847.49, ჯამი 1,847.49); აქ გამრავლებულია 625-ზე, რადგან კრედიტი 625,000 ლარია. / The bank's Annex 1 is stated per 1,000 units (principal 1,000.00, interest 847.49, total 1,847.49); these are scaled by 625 for the 625,000 GEL credit.</s:t>
        </s:is>
      </s:c>
    </s:row>
    <s:row r="23">
      <s:c r="A23" s="64" t="n">
        <s:v>19</s:v>
      </s:c>
      <s:c r="B23" s="65">
        <s:f>EDATE(DATE(2026,6,17),A23)</s:f>
        <s:v>46769.0</s:v>
      </s:c>
      <s:c r="C23" s="64">
        <s:f>INT((A23-1)/12)+1</s:f>
        <s:v>2.0</s:v>
      </s:c>
      <s:c r="D23" s="21">
        <s:f>J22</s:f>
        <s:v>608747.5044810349</s:v>
      </s:c>
      <s:c r="E23" s="21">
        <s:f>IF(A23&gt;Assumptions!$B$31,0,D23*IF(A23&lt;Assumptions!$B$37,Assumptions!$B$30,Assumptions!$B$36)/12)</s:f>
        <s:v>6412.1403805335685</s:v>
      </s:c>
      <s:c r="F23" s="21">
        <s:f>IF(A23&gt;Assumptions!$B$35,0,MIN(E23,D23*Assumptions!$B$34/12))</s:f>
        <s:v>5580.18545774282</s:v>
      </s:c>
      <s:c r="G23" s="21">
        <s:f>E23-F23</s:f>
        <s:v>831.9549227907482</s:v>
      </s:c>
      <s:c r="H23" s="21">
        <s:f>IF(A23&gt;Assumptions!$B$31,0,IF(A23&lt;=Assumptions!$B$32+1,0,MIN(D23,PMT(IF(A23&lt;Assumptions!$B$37,Assumptions!$B$30,Assumptions!$B$36)/12,Assumptions!$B$31-A23+1,-D23)-E23)))</s:f>
        <s:v>3353.932361969368</s:v>
      </s:c>
      <s:c r="I23" s="21">
        <s:f>IF(A23&gt;Assumptions!$B$31,0,IF(A23&lt;=Assumptions!$B$32,0,IF(A23=Assumptions!$B$32+1,K22+G23,H23+G23)))</s:f>
        <s:v>4185.887284760116</s:v>
      </s:c>
      <s:c r="J23" s="21">
        <s:f>D23-H23</s:f>
        <s:v>605393.5721190656</s:v>
      </s:c>
      <s:c r="K23" s="21">
        <s:f>IF(A23&lt;=Assumptions!$B$32,K22+G23,0)</s:f>
        <s:v>0.0</s:v>
      </s:c>
      <s:c r="M23" s="2" t="inlineStr">
        <s:is>
          <s:t>სხვაობა მცირეა, რადგან ბანკი დღეების მიხედვით ითვლის, მოდელი კი თანაბარ თვეებზე. / A small difference is expected: the bank accrues on actual days, the model on equal months.</s:t>
        </s:is>
      </s:c>
    </s:row>
    <s:row r="24">
      <s:c r="A24" s="64" t="n">
        <s:v>20</s:v>
      </s:c>
      <s:c r="B24" s="65">
        <s:f>EDATE(DATE(2026,6,17),A24)</s:f>
        <s:v>46800.0</s:v>
      </s:c>
      <s:c r="C24" s="64">
        <s:f>INT((A24-1)/12)+1</s:f>
        <s:v>2.0</s:v>
      </s:c>
      <s:c r="D24" s="21">
        <s:f>J23</s:f>
        <s:v>605393.5721190656</s:v>
      </s:c>
      <s:c r="E24" s="21">
        <s:f>IF(A24&gt;Assumptions!$B$31,0,D24*IF(A24&lt;Assumptions!$B$37,Assumptions!$B$30,Assumptions!$B$36)/12)</s:f>
        <s:v>6376.812292987492</s:v>
      </s:c>
      <s:c r="F24" s="21">
        <s:f>IF(A24&gt;Assumptions!$B$35,0,MIN(E24,D24*Assumptions!$B$34/12))</s:f>
        <s:v>5549.441077758101</s:v>
      </s:c>
      <s:c r="G24" s="21">
        <s:f>E24-F24</s:f>
        <s:v>827.371215229391</s:v>
      </s:c>
      <s:c r="H24" s="21">
        <s:f>IF(A24&gt;Assumptions!$B$31,0,IF(A24&lt;=Assumptions!$B$32+1,0,MIN(D24,PMT(IF(A24&lt;Assumptions!$B$37,Assumptions!$B$30,Assumptions!$B$36)/12,Assumptions!$B$31-A24+1,-D24)-E24)))</s:f>
        <s:v>3389.260449515443</s:v>
      </s:c>
      <s:c r="I24" s="21">
        <s:f>IF(A24&gt;Assumptions!$B$31,0,IF(A24&lt;=Assumptions!$B$32,0,IF(A24=Assumptions!$B$32+1,K23+G24,H24+G24)))</s:f>
        <s:v>4216.631664744834</s:v>
      </s:c>
      <s:c r="J24" s="21">
        <s:f>D24-H24</s:f>
        <s:v>602004.3116695501</s:v>
      </s:c>
      <s:c r="K24" s="21">
        <s:f>IF(A24&lt;=Assumptions!$B$32,K23+G24,0)</s:f>
        <s:v>0.0</s:v>
      </s:c>
    </s:row>
    <s:row r="25">
      <s:c r="A25" s="64" t="n">
        <s:v>21</s:v>
      </s:c>
      <s:c r="B25" s="65">
        <s:f>EDATE(DATE(2026,6,17),A25)</s:f>
        <s:v>46829.0</s:v>
      </s:c>
      <s:c r="C25" s="64">
        <s:f>INT((A25-1)/12)+1</s:f>
        <s:v>2.0</s:v>
      </s:c>
      <s:c r="D25" s="21">
        <s:f>J24</s:f>
        <s:v>602004.3116695501</s:v>
      </s:c>
      <s:c r="E25" s="21">
        <s:f>IF(A25&gt;Assumptions!$B$31,0,D25*IF(A25&lt;Assumptions!$B$37,Assumptions!$B$30,Assumptions!$B$36)/12)</s:f>
        <s:v>6341.112082919262</s:v>
      </s:c>
      <s:c r="F25" s="21">
        <s:f>IF(A25&gt;Assumptions!$B$35,0,MIN(E25,D25*Assumptions!$B$34/12))</s:f>
        <s:v>5518.3728569708765</s:v>
      </s:c>
      <s:c r="G25" s="21">
        <s:f>E25-F25</s:f>
        <s:v>822.7392259483859</s:v>
      </s:c>
      <s:c r="H25" s="21">
        <s:f>IF(A25&gt;Assumptions!$B$31,0,IF(A25&lt;=Assumptions!$B$32+1,0,MIN(D25,PMT(IF(A25&lt;Assumptions!$B$37,Assumptions!$B$30,Assumptions!$B$36)/12,Assumptions!$B$31-A25+1,-D25)-E25)))</s:f>
        <s:v>3424.960659583674</s:v>
      </s:c>
      <s:c r="I25" s="21">
        <s:f>IF(A25&gt;Assumptions!$B$31,0,IF(A25&lt;=Assumptions!$B$32,0,IF(A25=Assumptions!$B$32+1,K24+G25,H25+G25)))</s:f>
        <s:v>4247.69988553206</s:v>
      </s:c>
      <s:c r="J25" s="21">
        <s:f>D25-H25</s:f>
        <s:v>598579.3510099665</s:v>
      </s:c>
      <s:c r="K25" s="21">
        <s:f>IF(A25&lt;=Assumptions!$B$32,K24+G25,0)</s:f>
        <s:v>0.0</s:v>
      </s:c>
      <s:c r="M25" s="17" t="inlineStr">
        <s:is>
          <s:t>ანუიტეტი 1 (17/06/2028-მდე) / Annuity 1</s:t>
        </s:is>
      </s:c>
      <s:c r="N25" s="18">
        <s:f>H18+E18</s:f>
        <s:v>9766.072742502936</s:v>
      </s:c>
      <s:c r="O25" s="45" t="inlineStr">
        <s:is>
          <s:t>ბანკის გრაფიკი / bank: 9,768.75</s:t>
        </s:is>
      </s:c>
    </s:row>
    <s:row r="26">
      <s:c r="A26" s="64" t="n">
        <s:v>22</s:v>
      </s:c>
      <s:c r="B26" s="65">
        <s:f>EDATE(DATE(2026,6,17),A26)</s:f>
        <s:v>46860.0</s:v>
      </s:c>
      <s:c r="C26" s="64">
        <s:f>INT((A26-1)/12)+1</s:f>
        <s:v>2.0</s:v>
      </s:c>
      <s:c r="D26" s="21">
        <s:f>J25</s:f>
        <s:v>598579.3510099665</s:v>
      </s:c>
      <s:c r="E26" s="21">
        <s:f>IF(A26&gt;Assumptions!$B$31,0,D26*IF(A26&lt;Assumptions!$B$37,Assumptions!$B$30,Assumptions!$B$36)/12)</s:f>
        <s:v>6305.035830638314</s:v>
      </s:c>
      <s:c r="F26" s="21">
        <s:f>IF(A26&gt;Assumptions!$B$35,0,MIN(E26,D26*Assumptions!$B$34/12))</s:f>
        <s:v>5486.977384258026</s:v>
      </s:c>
      <s:c r="G26" s="21">
        <s:f>E26-F26</s:f>
        <s:v>818.0584463802879</s:v>
      </s:c>
      <s:c r="H26" s="21">
        <s:f>IF(A26&gt;Assumptions!$B$31,0,IF(A26&lt;=Assumptions!$B$32+1,0,MIN(D26,PMT(IF(A26&lt;Assumptions!$B$37,Assumptions!$B$30,Assumptions!$B$36)/12,Assumptions!$B$31-A26+1,-D26)-E26)))</s:f>
        <s:v>3461.0369118646204</s:v>
      </s:c>
      <s:c r="I26" s="21">
        <s:f>IF(A26&gt;Assumptions!$B$31,0,IF(A26&lt;=Assumptions!$B$32,0,IF(A26=Assumptions!$B$32+1,K25+G26,H26+G26)))</s:f>
        <s:v>4279.095358244908</s:v>
      </s:c>
      <s:c r="J26" s="21">
        <s:f>D26-H26</s:f>
        <s:v>595118.3140981018</s:v>
      </s:c>
      <s:c r="K26" s="21">
        <s:f>IF(A26&lt;=Assumptions!$B$32,K25+G26,0)</s:f>
        <s:v>0.0</s:v>
      </s:c>
      <s:c r="M26" s="17" t="inlineStr">
        <s:is>
          <s:t>ანუიტეტი 2 (17/06/2028-ის შემდეგ) / Annuity 2</s:t>
        </s:is>
      </s:c>
      <s:c r="N26" s="18">
        <s:f>H28+E28</s:f>
        <s:v>10018.248216575024</s:v>
      </s:c>
      <s:c r="O26" s="45" t="inlineStr">
        <s:is>
          <s:t>ბანკის გრაფიკი / bank: 10,012.50</s:t>
        </s:is>
      </s:c>
    </s:row>
    <s:row r="27">
      <s:c r="A27" s="64" t="n">
        <s:v>23</s:v>
      </s:c>
      <s:c r="B27" s="65">
        <s:f>EDATE(DATE(2026,6,17),A27)</s:f>
        <s:v>46890.0</s:v>
      </s:c>
      <s:c r="C27" s="64">
        <s:f>INT((A27-1)/12)+1</s:f>
        <s:v>2.0</s:v>
      </s:c>
      <s:c r="D27" s="21">
        <s:f>J26</s:f>
        <s:v>595118.3140981018</s:v>
      </s:c>
      <s:c r="E27" s="21">
        <s:f>IF(A27&gt;Assumptions!$B$31,0,D27*IF(A27&lt;Assumptions!$B$37,Assumptions!$B$30,Assumptions!$B$36)/12)</s:f>
        <s:v>6268.579575166673</s:v>
      </s:c>
      <s:c r="F27" s="21">
        <s:f>IF(A27&gt;Assumptions!$B$35,0,MIN(E27,D27*Assumptions!$B$34/12))</s:f>
        <s:v>5455.251212565933</s:v>
      </s:c>
      <s:c r="G27" s="21">
        <s:f>E27-F27</s:f>
        <s:v>813.3283626007396</s:v>
      </s:c>
      <s:c r="H27" s="21">
        <s:f>IF(A27&gt;Assumptions!$B$31,0,IF(A27&lt;=Assumptions!$B$32+1,0,MIN(D27,PMT(IF(A27&lt;Assumptions!$B$37,Assumptions!$B$30,Assumptions!$B$36)/12,Assumptions!$B$31-A27+1,-D27)-E27)))</s:f>
        <s:v>3497.49316733626</s:v>
      </s:c>
      <s:c r="I27" s="21">
        <s:f>IF(A27&gt;Assumptions!$B$31,0,IF(A27&lt;=Assumptions!$B$32,0,IF(A27=Assumptions!$B$32+1,K26+G27,H27+G27)))</s:f>
        <s:v>4310.8215299369995</s:v>
      </s:c>
      <s:c r="J27" s="21">
        <s:f>D27-H27</s:f>
        <s:v>591620.8209307656</s:v>
      </s:c>
      <s:c r="K27" s="21">
        <s:f>IF(A27&lt;=Assumptions!$B$32,K26+G27,0)</s:f>
        <s:v>0.0</s:v>
      </s:c>
    </s:row>
    <s:row r="28">
      <s:c r="A28" s="64" t="n">
        <s:v>24</s:v>
      </s:c>
      <s:c r="B28" s="65">
        <s:f>EDATE(DATE(2026,6,17),A28)</s:f>
        <s:v>46921.0</s:v>
      </s:c>
      <s:c r="C28" s="64">
        <s:f>INT((A28-1)/12)+1</s:f>
        <s:v>2.0</s:v>
      </s:c>
      <s:c r="D28" s="21">
        <s:f>J27</s:f>
        <s:v>591620.8209307656</s:v>
      </s:c>
      <s:c r="E28" s="21">
        <s:f>IF(A28&gt;Assumptions!$B$31,0,D28*IF(A28&lt;Assumptions!$B$37,Assumptions!$B$30,Assumptions!$B$36)/12)</s:f>
        <s:v>6606.432500393549</s:v>
      </s:c>
      <s:c r="F28" s="21">
        <s:f>IF(A28&gt;Assumptions!$B$35,0,MIN(E28,D28*Assumptions!$B$34/12))</s:f>
        <s:v>5423.190858532018</s:v>
      </s:c>
      <s:c r="G28" s="21">
        <s:f>E28-F28</s:f>
        <s:v>1183.2416418615312</s:v>
      </s:c>
      <s:c r="H28" s="21">
        <s:f>IF(A28&gt;Assumptions!$B$31,0,IF(A28&lt;=Assumptions!$B$32+1,0,MIN(D28,PMT(IF(A28&lt;Assumptions!$B$37,Assumptions!$B$30,Assumptions!$B$36)/12,Assumptions!$B$31-A28+1,-D28)-E28)))</s:f>
        <s:v>3411.815716181475</s:v>
      </s:c>
      <s:c r="I28" s="21">
        <s:f>IF(A28&gt;Assumptions!$B$31,0,IF(A28&lt;=Assumptions!$B$32,0,IF(A28=Assumptions!$B$32+1,K27+G28,H28+G28)))</s:f>
        <s:v>4595.057358043006</s:v>
      </s:c>
      <s:c r="J28" s="21">
        <s:f>D28-H28</s:f>
        <s:v>588209.0052145841</s:v>
      </s:c>
      <s:c r="K28" s="21">
        <s:f>IF(A28&lt;=Assumptions!$B$32,K27+G28,0)</s:f>
        <s:v>0.0</s:v>
      </s:c>
      <s:c r="M28" s="2" t="inlineStr">
        <s:is>
          <s:t>წყარო: Mukrlhranis loan contract, GA/1-876787–001 (Google Drive) / Source: the signed contract on Drive</s:t>
        </s:is>
      </s:c>
    </s:row>
    <s:row r="29">
      <s:c r="A29" s="64" t="n">
        <s:v>25</s:v>
      </s:c>
      <s:c r="B29" s="65">
        <s:f>EDATE(DATE(2026,6,17),A29)</s:f>
        <s:v>46951.0</s:v>
      </s:c>
      <s:c r="C29" s="64">
        <s:f>INT((A29-1)/12)+1</s:f>
        <s:v>3.0</s:v>
      </s:c>
      <s:c r="D29" s="21">
        <s:f>J28</s:f>
        <s:v>588209.0052145841</s:v>
      </s:c>
      <s:c r="E29" s="21">
        <s:f>IF(A29&gt;Assumptions!$B$31,0,D29*IF(A29&lt;Assumptions!$B$37,Assumptions!$B$30,Assumptions!$B$36)/12)</s:f>
        <s:v>6568.333891562856</s:v>
      </s:c>
      <s:c r="F29" s="21">
        <s:f>IF(A29&gt;Assumptions!$B$35,0,MIN(E29,D29*Assumptions!$B$34/12))</s:f>
        <s:v>5391.915881133687</s:v>
      </s:c>
      <s:c r="G29" s="21">
        <s:f>E29-F29</s:f>
        <s:v>1176.4180104291681</s:v>
      </s:c>
      <s:c r="H29" s="21">
        <s:f>IF(A29&gt;Assumptions!$B$31,0,IF(A29&lt;=Assumptions!$B$32+1,0,MIN(D29,PMT(IF(A29&lt;Assumptions!$B$37,Assumptions!$B$30,Assumptions!$B$36)/12,Assumptions!$B$31-A29+1,-D29)-E29)))</s:f>
        <s:v>3449.914325012169</s:v>
      </s:c>
      <s:c r="I29" s="21">
        <s:f>IF(A29&gt;Assumptions!$B$31,0,IF(A29&lt;=Assumptions!$B$32,0,IF(A29=Assumptions!$B$32+1,K28+G29,H29+G29)))</s:f>
        <s:v>4626.332335441337</s:v>
      </s:c>
      <s:c r="J29" s="21">
        <s:f>D29-H29</s:f>
        <s:v>584759.0908895719</s:v>
      </s:c>
      <s:c r="K29" s="21">
        <s:f>IF(A29&lt;=Assumptions!$B$32,K28+G29,0)</s:f>
        <s:v>0.0</s:v>
      </s:c>
    </s:row>
    <s:row r="30">
      <s:c r="A30" s="64" t="n">
        <s:v>26</s:v>
      </s:c>
      <s:c r="B30" s="65">
        <s:f>EDATE(DATE(2026,6,17),A30)</s:f>
        <s:v>46982.0</s:v>
      </s:c>
      <s:c r="C30" s="64">
        <s:f>INT((A30-1)/12)+1</s:f>
        <s:v>3.0</s:v>
      </s:c>
      <s:c r="D30" s="21">
        <s:f>J29</s:f>
        <s:v>584759.0908895719</s:v>
      </s:c>
      <s:c r="E30" s="21">
        <s:f>IF(A30&gt;Assumptions!$B$31,0,D30*IF(A30&lt;Assumptions!$B$37,Assumptions!$B$30,Assumptions!$B$36)/12)</s:f>
        <s:v>6529.809848266887</s:v>
      </s:c>
      <s:c r="F30" s="21">
        <s:f>IF(A30&gt;Assumptions!$B$35,0,MIN(E30,D30*Assumptions!$B$34/12))</s:f>
        <s:v>5360.291666487743</s:v>
      </s:c>
      <s:c r="G30" s="21">
        <s:f>E30-F30</s:f>
        <s:v>1169.5181817791436</s:v>
      </s:c>
      <s:c r="H30" s="21">
        <s:f>IF(A30&gt;Assumptions!$B$31,0,IF(A30&lt;=Assumptions!$B$32+1,0,MIN(D30,PMT(IF(A30&lt;Assumptions!$B$37,Assumptions!$B$30,Assumptions!$B$36)/12,Assumptions!$B$31-A30+1,-D30)-E30)))</s:f>
        <s:v>3488.4383683081396</s:v>
      </s:c>
      <s:c r="I30" s="21">
        <s:f>IF(A30&gt;Assumptions!$B$31,0,IF(A30&lt;=Assumptions!$B$32,0,IF(A30=Assumptions!$B$32+1,K29+G30,H30+G30)))</s:f>
        <s:v>4657.956550087283</s:v>
      </s:c>
      <s:c r="J30" s="21">
        <s:f>D30-H30</s:f>
        <s:v>581270.6525212638</s:v>
      </s:c>
      <s:c r="K30" s="21">
        <s:f>IF(A30&lt;=Assumptions!$B$32,K29+G30,0)</s:f>
        <s:v>0.0</s:v>
      </s:c>
    </s:row>
    <s:row r="31">
      <s:c r="A31" s="64" t="n">
        <s:v>27</s:v>
      </s:c>
      <s:c r="B31" s="65">
        <s:f>EDATE(DATE(2026,6,17),A31)</s:f>
        <s:v>47013.0</s:v>
      </s:c>
      <s:c r="C31" s="64">
        <s:f>INT((A31-1)/12)+1</s:f>
        <s:v>3.0</s:v>
      </s:c>
      <s:c r="D31" s="21">
        <s:f>J30</s:f>
        <s:v>581270.6525212638</s:v>
      </s:c>
      <s:c r="E31" s="21">
        <s:f>IF(A31&gt;Assumptions!$B$31,0,D31*IF(A31&lt;Assumptions!$B$37,Assumptions!$B$30,Assumptions!$B$36)/12)</s:f>
        <s:v>6490.85561982078</s:v>
      </s:c>
      <s:c r="F31" s="21">
        <s:f>IF(A31&gt;Assumptions!$B$35,0,MIN(E31,D31*Assumptions!$B$34/12))</s:f>
        <s:v>5328.314314778251</s:v>
      </s:c>
      <s:c r="G31" s="21">
        <s:f>E31-F31</s:f>
        <s:v>1162.5413050425286</s:v>
      </s:c>
      <s:c r="H31" s="21">
        <s:f>IF(A31&gt;Assumptions!$B$31,0,IF(A31&lt;=Assumptions!$B$32+1,0,MIN(D31,PMT(IF(A31&lt;Assumptions!$B$37,Assumptions!$B$30,Assumptions!$B$36)/12,Assumptions!$B$31-A31+1,-D31)-E31)))</s:f>
        <s:v>3527.3925967542464</s:v>
      </s:c>
      <s:c r="I31" s="21">
        <s:f>IF(A31&gt;Assumptions!$B$31,0,IF(A31&lt;=Assumptions!$B$32,0,IF(A31=Assumptions!$B$32+1,K30+G31,H31+G31)))</s:f>
        <s:v>4689.933901796775</s:v>
      </s:c>
      <s:c r="J31" s="21">
        <s:f>D31-H31</s:f>
        <s:v>577743.2599245096</s:v>
      </s:c>
      <s:c r="K31" s="21">
        <s:f>IF(A31&lt;=Assumptions!$B$32,K30+G31,0)</s:f>
        <s:v>0.0</s:v>
      </s:c>
    </s:row>
    <s:row r="32">
      <s:c r="A32" s="64" t="n">
        <s:v>28</s:v>
      </s:c>
      <s:c r="B32" s="65">
        <s:f>EDATE(DATE(2026,6,17),A32)</s:f>
        <s:v>47043.0</s:v>
      </s:c>
      <s:c r="C32" s="64">
        <s:f>INT((A32-1)/12)+1</s:f>
        <s:v>3.0</s:v>
      </s:c>
      <s:c r="D32" s="21">
        <s:f>J31</s:f>
        <s:v>577743.2599245096</s:v>
      </s:c>
      <s:c r="E32" s="21">
        <s:f>IF(A32&gt;Assumptions!$B$31,0,D32*IF(A32&lt;Assumptions!$B$37,Assumptions!$B$30,Assumptions!$B$36)/12)</s:f>
        <s:v>6451.466402490358</s:v>
      </s:c>
      <s:c r="F32" s="21">
        <s:f>IF(A32&gt;Assumptions!$B$35,0,MIN(E32,D32*Assumptions!$B$34/12))</s:f>
        <s:v>5295.979882641338</s:v>
      </s:c>
      <s:c r="G32" s="21">
        <s:f>E32-F32</s:f>
        <s:v>1155.4865198490197</s:v>
      </s:c>
      <s:c r="H32" s="21">
        <s:f>IF(A32&gt;Assumptions!$B$31,0,IF(A32&lt;=Assumptions!$B$32+1,0,MIN(D32,PMT(IF(A32&lt;Assumptions!$B$37,Assumptions!$B$30,Assumptions!$B$36)/12,Assumptions!$B$31-A32+1,-D32)-E32)))</s:f>
        <s:v>3566.7818140846684</s:v>
      </s:c>
      <s:c r="I32" s="21">
        <s:f>IF(A32&gt;Assumptions!$B$31,0,IF(A32&lt;=Assumptions!$B$32,0,IF(A32=Assumptions!$B$32+1,K31+G32,H32+G32)))</s:f>
        <s:v>4722.268333933688</s:v>
      </s:c>
      <s:c r="J32" s="21">
        <s:f>D32-H32</s:f>
        <s:v>574176.4781104249</s:v>
      </s:c>
      <s:c r="K32" s="21">
        <s:f>IF(A32&lt;=Assumptions!$B$32,K31+G32,0)</s:f>
        <s:v>0.0</s:v>
      </s:c>
    </s:row>
    <s:row r="33">
      <s:c r="A33" s="64" t="n">
        <s:v>29</s:v>
      </s:c>
      <s:c r="B33" s="65">
        <s:f>EDATE(DATE(2026,6,17),A33)</s:f>
        <s:v>47074.0</s:v>
      </s:c>
      <s:c r="C33" s="64">
        <s:f>INT((A33-1)/12)+1</s:f>
        <s:v>3.0</s:v>
      </s:c>
      <s:c r="D33" s="21">
        <s:f>J32</s:f>
        <s:v>574176.4781104249</s:v>
      </s:c>
      <s:c r="E33" s="21">
        <s:f>IF(A33&gt;Assumptions!$B$31,0,D33*IF(A33&lt;Assumptions!$B$37,Assumptions!$B$30,Assumptions!$B$36)/12)</s:f>
        <s:v>6411.637338899745</s:v>
      </s:c>
      <s:c r="F33" s="21">
        <s:f>IF(A33&gt;Assumptions!$B$35,0,MIN(E33,D33*Assumptions!$B$34/12))</s:f>
        <s:v>5263.284382678895</s:v>
      </s:c>
      <s:c r="G33" s="21">
        <s:f>E33-F33</s:f>
        <s:v>1148.3529562208505</s:v>
      </s:c>
      <s:c r="H33" s="21">
        <s:f>IF(A33&gt;Assumptions!$B$31,0,IF(A33&lt;=Assumptions!$B$32+1,0,MIN(D33,PMT(IF(A33&lt;Assumptions!$B$37,Assumptions!$B$30,Assumptions!$B$36)/12,Assumptions!$B$31-A33+1,-D33)-E33)))</s:f>
        <s:v>3606.6108776752826</s:v>
      </s:c>
      <s:c r="I33" s="21">
        <s:f>IF(A33&gt;Assumptions!$B$31,0,IF(A33&lt;=Assumptions!$B$32,0,IF(A33=Assumptions!$B$32+1,K32+G33,H33+G33)))</s:f>
        <s:v>4754.963833896133</s:v>
      </s:c>
      <s:c r="J33" s="21">
        <s:f>D33-H33</s:f>
        <s:v>570569.8672327497</s:v>
      </s:c>
      <s:c r="K33" s="21">
        <s:f>IF(A33&lt;=Assumptions!$B$32,K32+G33,0)</s:f>
        <s:v>0.0</s:v>
      </s:c>
    </s:row>
    <s:row r="34">
      <s:c r="A34" s="64" t="n">
        <s:v>30</s:v>
      </s:c>
      <s:c r="B34" s="65">
        <s:f>EDATE(DATE(2026,6,17),A34)</s:f>
        <s:v>47104.0</s:v>
      </s:c>
      <s:c r="C34" s="64">
        <s:f>INT((A34-1)/12)+1</s:f>
        <s:v>3.0</s:v>
      </s:c>
      <s:c r="D34" s="21">
        <s:f>J33</s:f>
        <s:v>570569.8672327497</s:v>
      </s:c>
      <s:c r="E34" s="21">
        <s:f>IF(A34&gt;Assumptions!$B$31,0,D34*IF(A34&lt;Assumptions!$B$37,Assumptions!$B$30,Assumptions!$B$36)/12)</s:f>
        <s:v>6371.363517432372</s:v>
      </s:c>
      <s:c r="F34" s="21">
        <s:f>IF(A34&gt;Assumptions!$B$35,0,MIN(E34,D34*Assumptions!$B$34/12))</s:f>
        <s:v>5230.223782966872</s:v>
      </s:c>
      <s:c r="G34" s="21">
        <s:f>E34-F34</s:f>
        <s:v>1141.1397344654997</s:v>
      </s:c>
      <s:c r="H34" s="21">
        <s:f>IF(A34&gt;Assumptions!$B$31,0,IF(A34&lt;=Assumptions!$B$32+1,0,MIN(D34,PMT(IF(A34&lt;Assumptions!$B$37,Assumptions!$B$30,Assumptions!$B$36)/12,Assumptions!$B$31-A34+1,-D34)-E34)))</s:f>
        <s:v>3646.88469914266</s:v>
      </s:c>
      <s:c r="I34" s="21">
        <s:f>IF(A34&gt;Assumptions!$B$31,0,IF(A34&lt;=Assumptions!$B$32,0,IF(A34=Assumptions!$B$32+1,K33+G34,H34+G34)))</s:f>
        <s:v>4788.02443360816</s:v>
      </s:c>
      <s:c r="J34" s="21">
        <s:f>D34-H34</s:f>
        <s:v>566922.982533607</s:v>
      </s:c>
      <s:c r="K34" s="21">
        <s:f>IF(A34&lt;=Assumptions!$B$32,K33+G34,0)</s:f>
        <s:v>0.0</s:v>
      </s:c>
    </s:row>
    <s:row r="35">
      <s:c r="A35" s="64" t="n">
        <s:v>31</s:v>
      </s:c>
      <s:c r="B35" s="65">
        <s:f>EDATE(DATE(2026,6,17),A35)</s:f>
        <s:v>47135.0</s:v>
      </s:c>
      <s:c r="C35" s="64">
        <s:f>INT((A35-1)/12)+1</s:f>
        <s:v>3.0</s:v>
      </s:c>
      <s:c r="D35" s="21">
        <s:f>J34</s:f>
        <s:v>566922.982533607</s:v>
      </s:c>
      <s:c r="E35" s="21">
        <s:f>IF(A35&gt;Assumptions!$B$31,0,D35*IF(A35&lt;Assumptions!$B$37,Assumptions!$B$30,Assumptions!$B$36)/12)</s:f>
        <s:v>6330.639971625279</s:v>
      </s:c>
      <s:c r="F35" s="21">
        <s:f>IF(A35&gt;Assumptions!$B$35,0,MIN(E35,D35*Assumptions!$B$34/12))</s:f>
        <s:v>5196.794006558065</s:v>
      </s:c>
      <s:c r="G35" s="21">
        <s:f>E35-F35</s:f>
        <s:v>1133.845965067214</s:v>
      </s:c>
      <s:c r="H35" s="21">
        <s:f>IF(A35&gt;Assumptions!$B$31,0,IF(A35&lt;=Assumptions!$B$32+1,0,MIN(D35,PMT(IF(A35&lt;Assumptions!$B$37,Assumptions!$B$30,Assumptions!$B$36)/12,Assumptions!$B$31-A35+1,-D35)-E35)))</s:f>
        <s:v>3687.6082449497508</s:v>
      </s:c>
      <s:c r="I35" s="21">
        <s:f>IF(A35&gt;Assumptions!$B$31,0,IF(A35&lt;=Assumptions!$B$32,0,IF(A35=Assumptions!$B$32+1,K34+G35,H35+G35)))</s:f>
        <s:v>4821.454210016965</s:v>
      </s:c>
      <s:c r="J35" s="21">
        <s:f>D35-H35</s:f>
        <s:v>563235.3742886573</s:v>
      </s:c>
      <s:c r="K35" s="21">
        <s:f>IF(A35&lt;=Assumptions!$B$32,K34+G35,0)</s:f>
        <s:v>0.0</s:v>
      </s:c>
    </s:row>
    <s:row r="36">
      <s:c r="A36" s="64" t="n">
        <s:v>32</s:v>
      </s:c>
      <s:c r="B36" s="65">
        <s:f>EDATE(DATE(2026,6,17),A36)</s:f>
        <s:v>47166.0</s:v>
      </s:c>
      <s:c r="C36" s="64">
        <s:f>INT((A36-1)/12)+1</s:f>
        <s:v>3.0</s:v>
      </s:c>
      <s:c r="D36" s="21">
        <s:f>J35</s:f>
        <s:v>563235.3742886573</s:v>
      </s:c>
      <s:c r="E36" s="21">
        <s:f>IF(A36&gt;Assumptions!$B$31,0,D36*IF(A36&lt;Assumptions!$B$37,Assumptions!$B$30,Assumptions!$B$36)/12)</s:f>
        <s:v>6289.4616795566735</s:v>
      </s:c>
      <s:c r="F36" s="21">
        <s:f>IF(A36&gt;Assumptions!$B$35,0,MIN(E36,D36*Assumptions!$B$34/12))</s:f>
        <s:v>5162.990930979359</s:v>
      </s:c>
      <s:c r="G36" s="21">
        <s:f>E36-F36</s:f>
        <s:v>1126.4707485773142</s:v>
      </s:c>
      <s:c r="H36" s="21">
        <s:f>IF(A36&gt;Assumptions!$B$31,0,IF(A36&lt;=Assumptions!$B$32+1,0,MIN(D36,PMT(IF(A36&lt;Assumptions!$B$37,Assumptions!$B$30,Assumptions!$B$36)/12,Assumptions!$B$31-A36+1,-D36)-E36)))</s:f>
        <s:v>3728.7865370183563</s:v>
      </s:c>
      <s:c r="I36" s="21">
        <s:f>IF(A36&gt;Assumptions!$B$31,0,IF(A36&lt;=Assumptions!$B$32,0,IF(A36=Assumptions!$B$32+1,K35+G36,H36+G36)))</s:f>
        <s:v>4855.2572855956705</s:v>
      </s:c>
      <s:c r="J36" s="21">
        <s:f>D36-H36</s:f>
        <s:v>559506.587751639</s:v>
      </s:c>
      <s:c r="K36" s="21">
        <s:f>IF(A36&lt;=Assumptions!$B$32,K35+G36,0)</s:f>
        <s:v>0.0</s:v>
      </s:c>
    </s:row>
    <s:row r="37">
      <s:c r="A37" s="64" t="n">
        <s:v>33</s:v>
      </s:c>
      <s:c r="B37" s="65">
        <s:f>EDATE(DATE(2026,6,17),A37)</s:f>
        <s:v>47194.0</s:v>
      </s:c>
      <s:c r="C37" s="64">
        <s:f>INT((A37-1)/12)+1</s:f>
        <s:v>3.0</s:v>
      </s:c>
      <s:c r="D37" s="21">
        <s:f>J36</s:f>
        <s:v>559506.587751639</s:v>
      </s:c>
      <s:c r="E37" s="21">
        <s:f>IF(A37&gt;Assumptions!$B$31,0,D37*IF(A37&lt;Assumptions!$B$37,Assumptions!$B$30,Assumptions!$B$36)/12)</s:f>
        <s:v>6247.823563226636</s:v>
      </s:c>
      <s:c r="F37" s="21">
        <s:f>IF(A37&gt;Assumptions!$B$35,0,MIN(E37,D37*Assumptions!$B$34/12))</s:f>
        <s:v>5128.810387723357</s:v>
      </s:c>
      <s:c r="G37" s="21">
        <s:f>E37-F37</s:f>
        <s:v>1119.013175503279</s:v>
      </s:c>
      <s:c r="H37" s="21">
        <s:f>IF(A37&gt;Assumptions!$B$31,0,IF(A37&lt;=Assumptions!$B$32+1,0,MIN(D37,PMT(IF(A37&lt;Assumptions!$B$37,Assumptions!$B$30,Assumptions!$B$36)/12,Assumptions!$B$31-A37+1,-D37)-E37)))</s:f>
        <s:v>3770.4246533483974</s:v>
      </s:c>
      <s:c r="I37" s="21">
        <s:f>IF(A37&gt;Assumptions!$B$31,0,IF(A37&lt;=Assumptions!$B$32,0,IF(A37=Assumptions!$B$32+1,K36+G37,H37+G37)))</s:f>
        <s:v>4889.437828851676</s:v>
      </s:c>
      <s:c r="J37" s="21">
        <s:f>D37-H37</s:f>
        <s:v>555736.1630982906</s:v>
      </s:c>
      <s:c r="K37" s="21">
        <s:f>IF(A37&lt;=Assumptions!$B$32,K36+G37,0)</s:f>
        <s:v>0.0</s:v>
      </s:c>
    </s:row>
    <s:row r="38">
      <s:c r="A38" s="64" t="n">
        <s:v>34</s:v>
      </s:c>
      <s:c r="B38" s="65">
        <s:f>EDATE(DATE(2026,6,17),A38)</s:f>
        <s:v>47225.0</s:v>
      </s:c>
      <s:c r="C38" s="64">
        <s:f>INT((A38-1)/12)+1</s:f>
        <s:v>3.0</s:v>
      </s:c>
      <s:c r="D38" s="21">
        <s:f>J37</s:f>
        <s:v>555736.1630982906</s:v>
      </s:c>
      <s:c r="E38" s="21">
        <s:f>IF(A38&gt;Assumptions!$B$31,0,D38*IF(A38&lt;Assumptions!$B$37,Assumptions!$B$30,Assumptions!$B$36)/12)</s:f>
        <s:v>6205.720487930911</s:v>
      </s:c>
      <s:c r="F38" s="21">
        <s:f>IF(A38&gt;Assumptions!$B$35,0,MIN(E38,D38*Assumptions!$B$34/12))</s:f>
        <s:v>5094.24816173433</s:v>
      </s:c>
      <s:c r="G38" s="21">
        <s:f>E38-F38</s:f>
        <s:v>1111.472326196581</s:v>
      </s:c>
      <s:c r="H38" s="21">
        <s:f>IF(A38&gt;Assumptions!$B$31,0,IF(A38&lt;=Assumptions!$B$32+1,0,MIN(D38,PMT(IF(A38&lt;Assumptions!$B$37,Assumptions!$B$30,Assumptions!$B$36)/12,Assumptions!$B$31-A38+1,-D38)-E38)))</s:f>
        <s:v>3812.5277286441205</s:v>
      </s:c>
      <s:c r="I38" s="21">
        <s:f>IF(A38&gt;Assumptions!$B$31,0,IF(A38&lt;=Assumptions!$B$32,0,IF(A38=Assumptions!$B$32+1,K37+G38,H38+G38)))</s:f>
        <s:v>4924.0000548407015</s:v>
      </s:c>
      <s:c r="J38" s="21">
        <s:f>D38-H38</s:f>
        <s:v>551923.6353696465</s:v>
      </s:c>
      <s:c r="K38" s="21">
        <s:f>IF(A38&lt;=Assumptions!$B$32,K37+G38,0)</s:f>
        <s:v>0.0</s:v>
      </s:c>
    </s:row>
    <s:row r="39">
      <s:c r="A39" s="64" t="n">
        <s:v>35</s:v>
      </s:c>
      <s:c r="B39" s="65">
        <s:f>EDATE(DATE(2026,6,17),A39)</s:f>
        <s:v>47255.0</s:v>
      </s:c>
      <s:c r="C39" s="64">
        <s:f>INT((A39-1)/12)+1</s:f>
        <s:v>3.0</s:v>
      </s:c>
      <s:c r="D39" s="21">
        <s:f>J38</s:f>
        <s:v>551923.6353696465</s:v>
      </s:c>
      <s:c r="E39" s="21">
        <s:f>IF(A39&gt;Assumptions!$B$31,0,D39*IF(A39&lt;Assumptions!$B$37,Assumptions!$B$30,Assumptions!$B$36)/12)</s:f>
        <s:v>6163.14726162772</s:v>
      </s:c>
      <s:c r="F39" s="21">
        <s:f>IF(A39&gt;Assumptions!$B$35,0,MIN(E39,D39*Assumptions!$B$34/12))</s:f>
        <s:v>5059.299990888426</s:v>
      </s:c>
      <s:c r="G39" s="21">
        <s:f>E39-F39</s:f>
        <s:v>1103.847270739294</s:v>
      </s:c>
      <s:c r="H39" s="21">
        <s:f>IF(A39&gt;Assumptions!$B$31,0,IF(A39&lt;=Assumptions!$B$32+1,0,MIN(D39,PMT(IF(A39&lt;Assumptions!$B$37,Assumptions!$B$30,Assumptions!$B$36)/12,Assumptions!$B$31-A39+1,-D39)-E39)))</s:f>
        <s:v>3855.1009549473156</s:v>
      </s:c>
      <s:c r="I39" s="21">
        <s:f>IF(A39&gt;Assumptions!$B$31,0,IF(A39&lt;=Assumptions!$B$32,0,IF(A39=Assumptions!$B$32+1,K38+G39,H39+G39)))</s:f>
        <s:v>4958.9482256866095</s:v>
      </s:c>
      <s:c r="J39" s="21">
        <s:f>D39-H39</s:f>
        <s:v>548068.5344146992</s:v>
      </s:c>
      <s:c r="K39" s="21">
        <s:f>IF(A39&lt;=Assumptions!$B$32,K38+G39,0)</s:f>
        <s:v>0.0</s:v>
      </s:c>
    </s:row>
    <s:row r="40">
      <s:c r="A40" s="64" t="n">
        <s:v>36</s:v>
      </s:c>
      <s:c r="B40" s="65">
        <s:f>EDATE(DATE(2026,6,17),A40)</s:f>
        <s:v>47286.0</s:v>
      </s:c>
      <s:c r="C40" s="64">
        <s:f>INT((A40-1)/12)+1</s:f>
        <s:v>3.0</s:v>
      </s:c>
      <s:c r="D40" s="21">
        <s:f>J39</s:f>
        <s:v>548068.5344146992</s:v>
      </s:c>
      <s:c r="E40" s="21">
        <s:f>IF(A40&gt;Assumptions!$B$31,0,D40*IF(A40&lt;Assumptions!$B$37,Assumptions!$B$30,Assumptions!$B$36)/12)</s:f>
        <s:v>6120.098634297475</s:v>
      </s:c>
      <s:c r="F40" s="21">
        <s:f>IF(A40&gt;Assumptions!$B$35,0,MIN(E40,D40*Assumptions!$B$34/12))</s:f>
        <s:v>5023.961565468076</s:v>
      </s:c>
      <s:c r="G40" s="21">
        <s:f>E40-F40</s:f>
        <s:v>1096.1370688293991</s:v>
      </s:c>
      <s:c r="H40" s="21">
        <s:f>IF(A40&gt;Assumptions!$B$31,0,IF(A40&lt;=Assumptions!$B$32+1,0,MIN(D40,PMT(IF(A40&lt;Assumptions!$B$37,Assumptions!$B$30,Assumptions!$B$36)/12,Assumptions!$B$31-A40+1,-D40)-E40)))</s:f>
        <s:v>3898.1495822775605</s:v>
      </s:c>
      <s:c r="I40" s="21">
        <s:f>IF(A40&gt;Assumptions!$B$31,0,IF(A40&lt;=Assumptions!$B$32,0,IF(A40=Assumptions!$B$32+1,K39+G40,H40+G40)))</s:f>
        <s:v>4994.28665110696</s:v>
      </s:c>
      <s:c r="J40" s="21">
        <s:f>D40-H40</s:f>
        <s:v>544170.3848324217</s:v>
      </s:c>
      <s:c r="K40" s="21">
        <s:f>IF(A40&lt;=Assumptions!$B$32,K39+G40,0)</s:f>
        <s:v>0.0</s:v>
      </s:c>
    </s:row>
    <s:row r="41">
      <s:c r="A41" s="64" t="n">
        <s:v>37</s:v>
      </s:c>
      <s:c r="B41" s="65">
        <s:f>EDATE(DATE(2026,6,17),A41)</s:f>
        <s:v>47316.0</s:v>
      </s:c>
      <s:c r="C41" s="64">
        <s:f>INT((A41-1)/12)+1</s:f>
        <s:v>4.0</s:v>
      </s:c>
      <s:c r="D41" s="21">
        <s:f>J40</s:f>
        <s:v>544170.3848324217</s:v>
      </s:c>
      <s:c r="E41" s="21">
        <s:f>IF(A41&gt;Assumptions!$B$31,0,D41*IF(A41&lt;Assumptions!$B$37,Assumptions!$B$30,Assumptions!$B$36)/12)</s:f>
        <s:v>6076.569297295376</s:v>
      </s:c>
      <s:c r="F41" s="21">
        <s:f>IF(A41&gt;Assumptions!$B$35,0,MIN(E41,D41*Assumptions!$B$34/12))</s:f>
        <s:v>4988.228527630532</s:v>
      </s:c>
      <s:c r="G41" s="21">
        <s:f>E41-F41</s:f>
        <s:v>1088.3407696648437</s:v>
      </s:c>
      <s:c r="H41" s="21">
        <s:f>IF(A41&gt;Assumptions!$B$31,0,IF(A41&lt;=Assumptions!$B$32+1,0,MIN(D41,PMT(IF(A41&lt;Assumptions!$B$37,Assumptions!$B$30,Assumptions!$B$36)/12,Assumptions!$B$31-A41+1,-D41)-E41)))</s:f>
        <s:v>3941.6789192796596</s:v>
      </s:c>
      <s:c r="I41" s="21">
        <s:f>IF(A41&gt;Assumptions!$B$31,0,IF(A41&lt;=Assumptions!$B$32,0,IF(A41=Assumptions!$B$32+1,K40+G41,H41+G41)))</s:f>
        <s:v>5030.019688944503</s:v>
      </s:c>
      <s:c r="J41" s="21">
        <s:f>D41-H41</s:f>
        <s:v>540228.705913142</s:v>
      </s:c>
      <s:c r="K41" s="21">
        <s:f>IF(A41&lt;=Assumptions!$B$32,K40+G41,0)</s:f>
        <s:v>0.0</s:v>
      </s:c>
    </s:row>
    <s:row r="42">
      <s:c r="A42" s="64" t="n">
        <s:v>38</s:v>
      </s:c>
      <s:c r="B42" s="65">
        <s:f>EDATE(DATE(2026,6,17),A42)</s:f>
        <s:v>47347.0</s:v>
      </s:c>
      <s:c r="C42" s="64">
        <s:f>INT((A42-1)/12)+1</s:f>
        <s:v>4.0</s:v>
      </s:c>
      <s:c r="D42" s="21">
        <s:f>J41</s:f>
        <s:v>540228.705913142</s:v>
      </s:c>
      <s:c r="E42" s="21">
        <s:f>IF(A42&gt;Assumptions!$B$31,0,D42*IF(A42&lt;Assumptions!$B$37,Assumptions!$B$30,Assumptions!$B$36)/12)</s:f>
        <s:v>6032.553882696752</s:v>
      </s:c>
      <s:c r="F42" s="21">
        <s:f>IF(A42&gt;Assumptions!$B$35,0,MIN(E42,D42*Assumptions!$B$34/12))</s:f>
        <s:v>4952.096470870468</s:v>
      </s:c>
      <s:c r="G42" s="21">
        <s:f>E42-F42</s:f>
        <s:v>1080.4574118262844</s:v>
      </s:c>
      <s:c r="H42" s="21">
        <s:f>IF(A42&gt;Assumptions!$B$31,0,IF(A42&lt;=Assumptions!$B$32+1,0,MIN(D42,PMT(IF(A42&lt;Assumptions!$B$37,Assumptions!$B$30,Assumptions!$B$36)/12,Assumptions!$B$31-A42+1,-D42)-E42)))</s:f>
        <s:v>3985.694333878283</s:v>
      </s:c>
      <s:c r="I42" s="21">
        <s:f>IF(A42&gt;Assumptions!$B$31,0,IF(A42&lt;=Assumptions!$B$32,0,IF(A42=Assumptions!$B$32+1,K41+G42,H42+G42)))</s:f>
        <s:v>5066.1517457045675</s:v>
      </s:c>
      <s:c r="J42" s="21">
        <s:f>D42-H42</s:f>
        <s:v>536243.0115792637</s:v>
      </s:c>
      <s:c r="K42" s="21">
        <s:f>IF(A42&lt;=Assumptions!$B$32,K41+G42,0)</s:f>
        <s:v>0.0</s:v>
      </s:c>
    </s:row>
    <s:row r="43">
      <s:c r="A43" s="64" t="n">
        <s:v>39</s:v>
      </s:c>
      <s:c r="B43" s="65">
        <s:f>EDATE(DATE(2026,6,17),A43)</s:f>
        <s:v>47378.0</s:v>
      </s:c>
      <s:c r="C43" s="64">
        <s:f>INT((A43-1)/12)+1</s:f>
        <s:v>4.0</s:v>
      </s:c>
      <s:c r="D43" s="21">
        <s:f>J42</s:f>
        <s:v>536243.0115792637</s:v>
      </s:c>
      <s:c r="E43" s="21">
        <s:f>IF(A43&gt;Assumptions!$B$31,0,D43*IF(A43&lt;Assumptions!$B$37,Assumptions!$B$30,Assumptions!$B$36)/12)</s:f>
        <s:v>5988.046962635111</s:v>
      </s:c>
      <s:c r="F43" s="21">
        <s:f>IF(A43&gt;Assumptions!$B$35,0,MIN(E43,D43*Assumptions!$B$34/12))</s:f>
        <s:v>4915.560939476584</s:v>
      </s:c>
      <s:c r="G43" s="21">
        <s:f>E43-F43</s:f>
        <s:v>1072.4860231585271</s:v>
      </s:c>
      <s:c r="H43" s="21">
        <s:f>IF(A43&gt;Assumptions!$B$31,0,IF(A43&lt;=Assumptions!$B$32+1,0,MIN(D43,PMT(IF(A43&lt;Assumptions!$B$37,Assumptions!$B$30,Assumptions!$B$36)/12,Assumptions!$B$31-A43+1,-D43)-E43)))</s:f>
        <s:v>4030.2012539399275</s:v>
      </s:c>
      <s:c r="I43" s="21">
        <s:f>IF(A43&gt;Assumptions!$B$31,0,IF(A43&lt;=Assumptions!$B$32,0,IF(A43=Assumptions!$B$32+1,K42+G43,H43+G43)))</s:f>
        <s:v>5102.687277098455</s:v>
      </s:c>
      <s:c r="J43" s="21">
        <s:f>D43-H43</s:f>
        <s:v>532212.8103253238</s:v>
      </s:c>
      <s:c r="K43" s="21">
        <s:f>IF(A43&lt;=Assumptions!$B$32,K42+G43,0)</s:f>
        <s:v>0.0</s:v>
      </s:c>
    </s:row>
    <s:row r="44">
      <s:c r="A44" s="64" t="n">
        <s:v>40</s:v>
      </s:c>
      <s:c r="B44" s="65">
        <s:f>EDATE(DATE(2026,6,17),A44)</s:f>
        <s:v>47408.0</s:v>
      </s:c>
      <s:c r="C44" s="64">
        <s:f>INT((A44-1)/12)+1</s:f>
        <s:v>4.0</s:v>
      </s:c>
      <s:c r="D44" s="21">
        <s:f>J43</s:f>
        <s:v>532212.8103253238</s:v>
      </s:c>
      <s:c r="E44" s="21">
        <s:f>IF(A44&gt;Assumptions!$B$31,0,D44*IF(A44&lt;Assumptions!$B$37,Assumptions!$B$30,Assumptions!$B$36)/12)</s:f>
        <s:v>5943.043048632783</s:v>
      </s:c>
      <s:c r="F44" s="21">
        <s:f>IF(A44&gt;Assumptions!$B$35,0,MIN(E44,D44*Assumptions!$B$34/12))</s:f>
        <s:v>4878.617427982135</s:v>
      </s:c>
      <s:c r="G44" s="21">
        <s:f>E44-F44</s:f>
        <s:v>1064.425620650648</s:v>
      </s:c>
      <s:c r="H44" s="21">
        <s:f>IF(A44&gt;Assumptions!$B$31,0,IF(A44&lt;=Assumptions!$B$32+1,0,MIN(D44,PMT(IF(A44&lt;Assumptions!$B$37,Assumptions!$B$30,Assumptions!$B$36)/12,Assumptions!$B$31-A44+1,-D44)-E44)))</s:f>
        <s:v>4075.2051679422575</s:v>
      </s:c>
      <s:c r="I44" s="21">
        <s:f>IF(A44&gt;Assumptions!$B$31,0,IF(A44&lt;=Assumptions!$B$32,0,IF(A44=Assumptions!$B$32+1,K43+G44,H44+G44)))</s:f>
        <s:v>5139.630788592905</s:v>
      </s:c>
      <s:c r="J44" s="21">
        <s:f>D44-H44</s:f>
        <s:v>528137.6051573816</s:v>
      </s:c>
      <s:c r="K44" s="21">
        <s:f>IF(A44&lt;=Assumptions!$B$32,K43+G44,0)</s:f>
        <s:v>0.0</s:v>
      </s:c>
    </s:row>
    <s:row r="45">
      <s:c r="A45" s="64" t="n">
        <s:v>41</s:v>
      </s:c>
      <s:c r="B45" s="65">
        <s:f>EDATE(DATE(2026,6,17),A45)</s:f>
        <s:v>47439.0</s:v>
      </s:c>
      <s:c r="C45" s="64">
        <s:f>INT((A45-1)/12)+1</s:f>
        <s:v>4.0</s:v>
      </s:c>
      <s:c r="D45" s="21">
        <s:f>J44</s:f>
        <s:v>528137.6051573816</s:v>
      </s:c>
      <s:c r="E45" s="21">
        <s:f>IF(A45&gt;Assumptions!$B$31,0,D45*IF(A45&lt;Assumptions!$B$37,Assumptions!$B$30,Assumptions!$B$36)/12)</s:f>
        <s:v>5897.5365909240945</s:v>
      </s:c>
      <s:c r="F45" s="21">
        <s:f>IF(A45&gt;Assumptions!$B$35,0,MIN(E45,D45*Assumptions!$B$34/12))</s:f>
        <s:v>4841.261380609331</s:v>
      </s:c>
      <s:c r="G45" s="21">
        <s:f>E45-F45</s:f>
        <s:v>1056.2752103147632</s:v>
      </s:c>
      <s:c r="H45" s="21">
        <s:f>IF(A45&gt;Assumptions!$B$31,0,IF(A45&lt;=Assumptions!$B$32+1,0,MIN(D45,PMT(IF(A45&lt;Assumptions!$B$37,Assumptions!$B$30,Assumptions!$B$36)/12,Assumptions!$B$31-A45+1,-D45)-E45)))</s:f>
        <s:v>4120.711625650948</s:v>
      </s:c>
      <s:c r="I45" s="21">
        <s:f>IF(A45&gt;Assumptions!$B$31,0,IF(A45&lt;=Assumptions!$B$32,0,IF(A45=Assumptions!$B$32+1,K44+G45,H45+G45)))</s:f>
        <s:v>5176.986835965711</s:v>
      </s:c>
      <s:c r="J45" s="21">
        <s:f>D45-H45</s:f>
        <s:v>524016.8935317307</s:v>
      </s:c>
      <s:c r="K45" s="21">
        <s:f>IF(A45&lt;=Assumptions!$B$32,K44+G45,0)</s:f>
        <s:v>0.0</s:v>
      </s:c>
    </s:row>
    <s:row r="46">
      <s:c r="A46" s="64" t="n">
        <s:v>42</s:v>
      </s:c>
      <s:c r="B46" s="65">
        <s:f>EDATE(DATE(2026,6,17),A46)</s:f>
        <s:v>47469.0</s:v>
      </s:c>
      <s:c r="C46" s="64">
        <s:f>INT((A46-1)/12)+1</s:f>
        <s:v>4.0</s:v>
      </s:c>
      <s:c r="D46" s="21">
        <s:f>J45</s:f>
        <s:v>524016.8935317307</s:v>
      </s:c>
      <s:c r="E46" s="21">
        <s:f>IF(A46&gt;Assumptions!$B$31,0,D46*IF(A46&lt;Assumptions!$B$37,Assumptions!$B$30,Assumptions!$B$36)/12)</s:f>
        <s:v>5851.5219777709935</s:v>
      </s:c>
      <s:c r="F46" s="21">
        <s:f>IF(A46&gt;Assumptions!$B$35,0,MIN(E46,D46*Assumptions!$B$34/12))</s:f>
        <s:v>4803.488190707531</s:v>
      </s:c>
      <s:c r="G46" s="21">
        <s:f>E46-F46</s:f>
        <s:v>1048.0337870634621</s:v>
      </s:c>
      <s:c r="H46" s="21">
        <s:f>IF(A46&gt;Assumptions!$B$31,0,IF(A46&lt;=Assumptions!$B$32+1,0,MIN(D46,PMT(IF(A46&lt;Assumptions!$B$37,Assumptions!$B$30,Assumptions!$B$36)/12,Assumptions!$B$31-A46+1,-D46)-E46)))</s:f>
        <s:v>4166.726238804049</s:v>
      </s:c>
      <s:c r="I46" s="21">
        <s:f>IF(A46&gt;Assumptions!$B$31,0,IF(A46&lt;=Assumptions!$B$32,0,IF(A46=Assumptions!$B$32+1,K45+G46,H46+G46)))</s:f>
        <s:v>5214.760025867511</s:v>
      </s:c>
      <s:c r="J46" s="21">
        <s:f>D46-H46</s:f>
        <s:v>519850.16729292664</s:v>
      </s:c>
      <s:c r="K46" s="21">
        <s:f>IF(A46&lt;=Assumptions!$B$32,K45+G46,0)</s:f>
        <s:v>0.0</s:v>
      </s:c>
    </s:row>
    <s:row r="47">
      <s:c r="A47" s="64" t="n">
        <s:v>43</s:v>
      </s:c>
      <s:c r="B47" s="65">
        <s:f>EDATE(DATE(2026,6,17),A47)</s:f>
        <s:v>47500.0</s:v>
      </s:c>
      <s:c r="C47" s="64">
        <s:f>INT((A47-1)/12)+1</s:f>
        <s:v>4.0</s:v>
      </s:c>
      <s:c r="D47" s="21">
        <s:f>J46</s:f>
        <s:v>519850.16729292664</s:v>
      </s:c>
      <s:c r="E47" s="21">
        <s:f>IF(A47&gt;Assumptions!$B$31,0,D47*IF(A47&lt;Assumptions!$B$37,Assumptions!$B$30,Assumptions!$B$36)/12)</s:f>
        <s:v>5804.993534771015</s:v>
      </s:c>
      <s:c r="F47" s="21">
        <s:f>IF(A47&gt;Assumptions!$B$35,0,MIN(E47,D47*Assumptions!$B$34/12))</s:f>
        <s:v>4765.293200185161</s:v>
      </s:c>
      <s:c r="G47" s="21">
        <s:f>E47-F47</s:f>
        <s:v>1039.7003345858539</s:v>
      </s:c>
      <s:c r="H47" s="21">
        <s:f>IF(A47&gt;Assumptions!$B$31,0,IF(A47&lt;=Assumptions!$B$32+1,0,MIN(D47,PMT(IF(A47&lt;Assumptions!$B$37,Assumptions!$B$30,Assumptions!$B$36)/12,Assumptions!$B$31-A47+1,-D47)-E47)))</s:f>
        <s:v>4213.254681804027</s:v>
      </s:c>
      <s:c r="I47" s="21">
        <s:f>IF(A47&gt;Assumptions!$B$31,0,IF(A47&lt;=Assumptions!$B$32,0,IF(A47=Assumptions!$B$32+1,K46+G47,H47+G47)))</s:f>
        <s:v>5252.955016389881</s:v>
      </s:c>
      <s:c r="J47" s="21">
        <s:f>D47-H47</s:f>
        <s:v>515636.9126111226</s:v>
      </s:c>
      <s:c r="K47" s="21">
        <s:f>IF(A47&lt;=Assumptions!$B$32,K46+G47,0)</s:f>
        <s:v>0.0</s:v>
      </s:c>
    </s:row>
    <s:row r="48">
      <s:c r="A48" s="64" t="n">
        <s:v>44</s:v>
      </s:c>
      <s:c r="B48" s="65">
        <s:f>EDATE(DATE(2026,6,17),A48)</s:f>
        <s:v>47531.0</s:v>
      </s:c>
      <s:c r="C48" s="64">
        <s:f>INT((A48-1)/12)+1</s:f>
        <s:v>4.0</s:v>
      </s:c>
      <s:c r="D48" s="21">
        <s:f>J47</s:f>
        <s:v>515636.9126111226</s:v>
      </s:c>
      <s:c r="E48" s="21">
        <s:f>IF(A48&gt;Assumptions!$B$31,0,D48*IF(A48&lt;Assumptions!$B$37,Assumptions!$B$30,Assumptions!$B$36)/12)</s:f>
        <s:v>5757.945524157535</s:v>
      </s:c>
      <s:c r="F48" s="21">
        <s:f>IF(A48&gt;Assumptions!$B$35,0,MIN(E48,D48*Assumptions!$B$34/12))</s:f>
        <s:v>4726.671698935291</s:v>
      </s:c>
      <s:c r="G48" s="21">
        <s:f>E48-F48</s:f>
        <s:v>1031.2738252222443</s:v>
      </s:c>
      <s:c r="H48" s="21">
        <s:f>IF(A48&gt;Assumptions!$B$31,0,IF(A48&lt;=Assumptions!$B$32+1,0,MIN(D48,PMT(IF(A48&lt;Assumptions!$B$37,Assumptions!$B$30,Assumptions!$B$36)/12,Assumptions!$B$31-A48+1,-D48)-E48)))</s:f>
        <s:v>4260.302692417509</s:v>
      </s:c>
      <s:c r="I48" s="21">
        <s:f>IF(A48&gt;Assumptions!$B$31,0,IF(A48&lt;=Assumptions!$B$32,0,IF(A48=Assumptions!$B$32+1,K47+G48,H48+G48)))</s:f>
        <s:v>5291.576517639754</s:v>
      </s:c>
      <s:c r="J48" s="21">
        <s:f>D48-H48</s:f>
        <s:v>511376.6099187051</s:v>
      </s:c>
      <s:c r="K48" s="21">
        <s:f>IF(A48&lt;=Assumptions!$B$32,K47+G48,0)</s:f>
        <s:v>0.0</s:v>
      </s:c>
    </s:row>
    <s:row r="49">
      <s:c r="A49" s="64" t="n">
        <s:v>45</s:v>
      </s:c>
      <s:c r="B49" s="65">
        <s:f>EDATE(DATE(2026,6,17),A49)</s:f>
        <s:v>47559.0</s:v>
      </s:c>
      <s:c r="C49" s="64">
        <s:f>INT((A49-1)/12)+1</s:f>
        <s:v>4.0</s:v>
      </s:c>
      <s:c r="D49" s="21">
        <s:f>J48</s:f>
        <s:v>511376.6099187051</s:v>
      </s:c>
      <s:c r="E49" s="21">
        <s:f>IF(A49&gt;Assumptions!$B$31,0,D49*IF(A49&lt;Assumptions!$B$37,Assumptions!$B$30,Assumptions!$B$36)/12)</s:f>
        <s:v>5710.372144092206</s:v>
      </s:c>
      <s:c r="F49" s="21">
        <s:f>IF(A49&gt;Assumptions!$B$35,0,MIN(E49,D49*Assumptions!$B$34/12))</s:f>
        <s:v>4687.618924254796</s:v>
      </s:c>
      <s:c r="G49" s="21">
        <s:f>E49-F49</s:f>
        <s:v>1022.7532198374101</s:v>
      </s:c>
      <s:c r="H49" s="21">
        <s:f>IF(A49&gt;Assumptions!$B$31,0,IF(A49&lt;=Assumptions!$B$32+1,0,MIN(D49,PMT(IF(A49&lt;Assumptions!$B$37,Assumptions!$B$30,Assumptions!$B$36)/12,Assumptions!$B$31-A49+1,-D49)-E49)))</s:f>
        <s:v>4307.876072482836</s:v>
      </s:c>
      <s:c r="I49" s="21">
        <s:f>IF(A49&gt;Assumptions!$B$31,0,IF(A49&lt;=Assumptions!$B$32,0,IF(A49=Assumptions!$B$32+1,K48+G49,H49+G49)))</s:f>
        <s:v>5330.629292320246</s:v>
      </s:c>
      <s:c r="J49" s="21">
        <s:f>D49-H49</s:f>
        <s:v>507068.7338462222</s:v>
      </s:c>
      <s:c r="K49" s="21">
        <s:f>IF(A49&lt;=Assumptions!$B$32,K48+G49,0)</s:f>
        <s:v>0.0</s:v>
      </s:c>
    </s:row>
    <s:row r="50">
      <s:c r="A50" s="64" t="n">
        <s:v>46</s:v>
      </s:c>
      <s:c r="B50" s="65">
        <s:f>EDATE(DATE(2026,6,17),A50)</s:f>
        <s:v>47590.0</s:v>
      </s:c>
      <s:c r="C50" s="64">
        <s:f>INT((A50-1)/12)+1</s:f>
        <s:v>4.0</s:v>
      </s:c>
      <s:c r="D50" s="21">
        <s:f>J49</s:f>
        <s:v>507068.7338462222</s:v>
      </s:c>
      <s:c r="E50" s="21">
        <s:f>IF(A50&gt;Assumptions!$B$31,0,D50*IF(A50&lt;Assumptions!$B$37,Assumptions!$B$30,Assumptions!$B$36)/12)</s:f>
        <s:v>5662.267527949482</s:v>
      </s:c>
      <s:c r="F50" s="21">
        <s:f>IF(A50&gt;Assumptions!$B$35,0,MIN(E50,D50*Assumptions!$B$34/12))</s:f>
        <s:v>4648.130060257037</s:v>
      </s:c>
      <s:c r="G50" s="21">
        <s:f>E50-F50</s:f>
        <s:v>1014.1374676924452</s:v>
      </s:c>
      <s:c r="H50" s="21">
        <s:f>IF(A50&gt;Assumptions!$B$31,0,IF(A50&lt;=Assumptions!$B$32+1,0,MIN(D50,PMT(IF(A50&lt;Assumptions!$B$37,Assumptions!$B$30,Assumptions!$B$36)/12,Assumptions!$B$31-A50+1,-D50)-E50)))</s:f>
        <s:v>4355.980688625562</s:v>
      </s:c>
      <s:c r="I50" s="21">
        <s:f>IF(A50&gt;Assumptions!$B$31,0,IF(A50&lt;=Assumptions!$B$32,0,IF(A50=Assumptions!$B$32+1,K49+G50,H50+G50)))</s:f>
        <s:v>5370.118156318007</s:v>
      </s:c>
      <s:c r="J50" s="21">
        <s:f>D50-H50</s:f>
        <s:v>502712.7531575967</s:v>
      </s:c>
      <s:c r="K50" s="21">
        <s:f>IF(A50&lt;=Assumptions!$B$32,K49+G50,0)</s:f>
        <s:v>0.0</s:v>
      </s:c>
    </s:row>
    <s:row r="51">
      <s:c r="A51" s="64" t="n">
        <s:v>47</s:v>
      </s:c>
      <s:c r="B51" s="65">
        <s:f>EDATE(DATE(2026,6,17),A51)</s:f>
        <s:v>47620.0</s:v>
      </s:c>
      <s:c r="C51" s="64">
        <s:f>INT((A51-1)/12)+1</s:f>
        <s:v>4.0</s:v>
      </s:c>
      <s:c r="D51" s="21">
        <s:f>J50</s:f>
        <s:v>502712.7531575967</s:v>
      </s:c>
      <s:c r="E51" s="21">
        <s:f>IF(A51&gt;Assumptions!$B$31,0,D51*IF(A51&lt;Assumptions!$B$37,Assumptions!$B$30,Assumptions!$B$36)/12)</s:f>
        <s:v>5613.625743593163</s:v>
      </s:c>
      <s:c r="F51" s="21">
        <s:f>IF(A51&gt;Assumptions!$B$35,0,MIN(E51,D51*Assumptions!$B$34/12))</s:f>
        <s:v>4608.20023727797</s:v>
      </s:c>
      <s:c r="G51" s="21">
        <s:f>E51-F51</s:f>
        <s:v>1005.4255063151932</s:v>
      </s:c>
      <s:c r="H51" s="21">
        <s:f>IF(A51&gt;Assumptions!$B$31,0,IF(A51&lt;=Assumptions!$B$32+1,0,MIN(D51,PMT(IF(A51&lt;Assumptions!$B$37,Assumptions!$B$30,Assumptions!$B$36)/12,Assumptions!$B$31-A51+1,-D51)-E51)))</s:f>
        <s:v>4404.622472981883</s:v>
      </s:c>
      <s:c r="I51" s="21">
        <s:f>IF(A51&gt;Assumptions!$B$31,0,IF(A51&lt;=Assumptions!$B$32,0,IF(A51=Assumptions!$B$32+1,K50+G51,H51+G51)))</s:f>
        <s:v>5410.047979297076</s:v>
      </s:c>
      <s:c r="J51" s="21">
        <s:f>D51-H51</s:f>
        <s:v>498308.1306846148</s:v>
      </s:c>
      <s:c r="K51" s="21">
        <s:f>IF(A51&lt;=Assumptions!$B$32,K50+G51,0)</s:f>
        <s:v>0.0</s:v>
      </s:c>
    </s:row>
    <s:row r="52">
      <s:c r="A52" s="64" t="n">
        <s:v>48</s:v>
      </s:c>
      <s:c r="B52" s="65">
        <s:f>EDATE(DATE(2026,6,17),A52)</s:f>
        <s:v>47651.0</s:v>
      </s:c>
      <s:c r="C52" s="64">
        <s:f>INT((A52-1)/12)+1</s:f>
        <s:v>4.0</s:v>
      </s:c>
      <s:c r="D52" s="21">
        <s:f>J51</s:f>
        <s:v>498308.1306846148</s:v>
      </s:c>
      <s:c r="E52" s="21">
        <s:f>IF(A52&gt;Assumptions!$B$31,0,D52*IF(A52&lt;Assumptions!$B$37,Assumptions!$B$30,Assumptions!$B$36)/12)</s:f>
        <s:v>5564.440792644866</s:v>
      </s:c>
      <s:c r="F52" s="21">
        <s:f>IF(A52&gt;Assumptions!$B$35,0,MIN(E52,D52*Assumptions!$B$34/12))</s:f>
        <s:v>4567.824531275636</s:v>
      </s:c>
      <s:c r="G52" s="21">
        <s:f>E52-F52</s:f>
        <s:v>996.6162613692295</s:v>
      </s:c>
      <s:c r="H52" s="21">
        <s:f>IF(A52&gt;Assumptions!$B$31,0,IF(A52&lt;=Assumptions!$B$32+1,0,MIN(D52,PMT(IF(A52&lt;Assumptions!$B$37,Assumptions!$B$30,Assumptions!$B$36)/12,Assumptions!$B$31-A52+1,-D52)-E52)))</s:f>
        <s:v>4453.807423930179</s:v>
      </s:c>
      <s:c r="I52" s="21">
        <s:f>IF(A52&gt;Assumptions!$B$31,0,IF(A52&lt;=Assumptions!$B$32,0,IF(A52=Assumptions!$B$32+1,K51+G52,H52+G52)))</s:f>
        <s:v>5450.423685299408</s:v>
      </s:c>
      <s:c r="J52" s="21">
        <s:f>D52-H52</s:f>
        <s:v>493854.3232606846</s:v>
      </s:c>
      <s:c r="K52" s="21">
        <s:f>IF(A52&lt;=Assumptions!$B$32,K51+G52,0)</s:f>
        <s:v>0.0</s:v>
      </s:c>
    </s:row>
    <s:row r="53">
      <s:c r="A53" s="64" t="n">
        <s:v>49</s:v>
      </s:c>
      <s:c r="B53" s="65">
        <s:f>EDATE(DATE(2026,6,17),A53)</s:f>
        <s:v>47681.0</s:v>
      </s:c>
      <s:c r="C53" s="64">
        <s:f>INT((A53-1)/12)+1</s:f>
        <s:v>5.0</s:v>
      </s:c>
      <s:c r="D53" s="21">
        <s:f>J52</s:f>
        <s:v>493854.3232606846</s:v>
      </s:c>
      <s:c r="E53" s="21">
        <s:f>IF(A53&gt;Assumptions!$B$31,0,D53*IF(A53&lt;Assumptions!$B$37,Assumptions!$B$30,Assumptions!$B$36)/12)</s:f>
        <s:v>5514.706609744312</s:v>
      </s:c>
      <s:c r="F53" s="21">
        <s:f>IF(A53&gt;Assumptions!$B$35,0,MIN(E53,D53*Assumptions!$B$34/12))</s:f>
        <s:v>0.0</s:v>
      </s:c>
      <s:c r="G53" s="21">
        <s:f>E53-F53</s:f>
        <s:v>5514.706609744312</s:v>
      </s:c>
      <s:c r="H53" s="21">
        <s:f>IF(A53&gt;Assumptions!$B$31,0,IF(A53&lt;=Assumptions!$B$32+1,0,MIN(D53,PMT(IF(A53&lt;Assumptions!$B$37,Assumptions!$B$30,Assumptions!$B$36)/12,Assumptions!$B$31-A53+1,-D53)-E53)))</s:f>
        <s:v>4503.541606830734</s:v>
      </s:c>
      <s:c r="I53" s="21">
        <s:f>IF(A53&gt;Assumptions!$B$31,0,IF(A53&lt;=Assumptions!$B$32,0,IF(A53=Assumptions!$B$32+1,K52+G53,H53+G53)))</s:f>
        <s:v>10018.248216575046</s:v>
      </s:c>
      <s:c r="J53" s="21">
        <s:f>D53-H53</s:f>
        <s:v>489350.7816538539</s:v>
      </s:c>
      <s:c r="K53" s="21">
        <s:f>IF(A53&lt;=Assumptions!$B$32,K52+G53,0)</s:f>
        <s:v>0.0</s:v>
      </s:c>
    </s:row>
    <s:row r="54">
      <s:c r="A54" s="64" t="n">
        <s:v>50</s:v>
      </s:c>
      <s:c r="B54" s="65">
        <s:f>EDATE(DATE(2026,6,17),A54)</s:f>
        <s:v>47712.0</s:v>
      </s:c>
      <s:c r="C54" s="64">
        <s:f>INT((A54-1)/12)+1</s:f>
        <s:v>5.0</s:v>
      </s:c>
      <s:c r="D54" s="21">
        <s:f>J53</s:f>
        <s:v>489350.7816538539</s:v>
      </s:c>
      <s:c r="E54" s="21">
        <s:f>IF(A54&gt;Assumptions!$B$31,0,D54*IF(A54&lt;Assumptions!$B$37,Assumptions!$B$30,Assumptions!$B$36)/12)</s:f>
        <s:v>5464.4170618013695</s:v>
      </s:c>
      <s:c r="F54" s="21">
        <s:f>IF(A54&gt;Assumptions!$B$35,0,MIN(E54,D54*Assumptions!$B$34/12))</s:f>
        <s:v>0.0</s:v>
      </s:c>
      <s:c r="G54" s="21">
        <s:f>E54-F54</s:f>
        <s:v>5464.4170618013695</s:v>
      </s:c>
      <s:c r="H54" s="21">
        <s:f>IF(A54&gt;Assumptions!$B$31,0,IF(A54&lt;=Assumptions!$B$32+1,0,MIN(D54,PMT(IF(A54&lt;Assumptions!$B$37,Assumptions!$B$30,Assumptions!$B$36)/12,Assumptions!$B$31-A54+1,-D54)-E54)))</s:f>
        <s:v>4553.8311547736785</s:v>
      </s:c>
      <s:c r="I54" s="21">
        <s:f>IF(A54&gt;Assumptions!$B$31,0,IF(A54&lt;=Assumptions!$B$32,0,IF(A54=Assumptions!$B$32+1,K53+G54,H54+G54)))</s:f>
        <s:v>10018.248216575048</s:v>
      </s:c>
      <s:c r="J54" s="21">
        <s:f>D54-H54</s:f>
        <s:v>484796.95049908024</s:v>
      </s:c>
      <s:c r="K54" s="21">
        <s:f>IF(A54&lt;=Assumptions!$B$32,K53+G54,0)</s:f>
        <s:v>0.0</s:v>
      </s:c>
    </s:row>
    <s:row r="55">
      <s:c r="A55" s="64" t="n">
        <s:v>51</s:v>
      </s:c>
      <s:c r="B55" s="65">
        <s:f>EDATE(DATE(2026,6,17),A55)</s:f>
        <s:v>47743.0</s:v>
      </s:c>
      <s:c r="C55" s="64">
        <s:f>INT((A55-1)/12)+1</s:f>
        <s:v>5.0</s:v>
      </s:c>
      <s:c r="D55" s="21">
        <s:f>J54</s:f>
        <s:v>484796.95049908024</s:v>
      </s:c>
      <s:c r="E55" s="21">
        <s:f>IF(A55&gt;Assumptions!$B$31,0,D55*IF(A55&lt;Assumptions!$B$37,Assumptions!$B$30,Assumptions!$B$36)/12)</s:f>
        <s:v>5413.56594723973</s:v>
      </s:c>
      <s:c r="F55" s="21">
        <s:f>IF(A55&gt;Assumptions!$B$35,0,MIN(E55,D55*Assumptions!$B$34/12))</s:f>
        <s:v>0.0</s:v>
      </s:c>
      <s:c r="G55" s="21">
        <s:f>E55-F55</s:f>
        <s:v>5413.56594723973</s:v>
      </s:c>
      <s:c r="H55" s="21">
        <s:f>IF(A55&gt;Assumptions!$B$31,0,IF(A55&lt;=Assumptions!$B$32+1,0,MIN(D55,PMT(IF(A55&lt;Assumptions!$B$37,Assumptions!$B$30,Assumptions!$B$36)/12,Assumptions!$B$31-A55+1,-D55)-E55)))</s:f>
        <s:v>4604.682269335318</s:v>
      </s:c>
      <s:c r="I55" s="21">
        <s:f>IF(A55&gt;Assumptions!$B$31,0,IF(A55&lt;=Assumptions!$B$32,0,IF(A55=Assumptions!$B$32+1,K54+G55,H55+G55)))</s:f>
        <s:v>10018.248216575048</s:v>
      </s:c>
      <s:c r="J55" s="21">
        <s:f>D55-H55</s:f>
        <s:v>480192.2682297449</s:v>
      </s:c>
      <s:c r="K55" s="21">
        <s:f>IF(A55&lt;=Assumptions!$B$32,K54+G55,0)</s:f>
        <s:v>0.0</s:v>
      </s:c>
    </s:row>
    <s:row r="56">
      <s:c r="A56" s="64" t="n">
        <s:v>52</s:v>
      </s:c>
      <s:c r="B56" s="65">
        <s:f>EDATE(DATE(2026,6,17),A56)</s:f>
        <s:v>47773.0</s:v>
      </s:c>
      <s:c r="C56" s="64">
        <s:f>INT((A56-1)/12)+1</s:f>
        <s:v>5.0</s:v>
      </s:c>
      <s:c r="D56" s="21">
        <s:f>J55</s:f>
        <s:v>480192.2682297449</s:v>
      </s:c>
      <s:c r="E56" s="21">
        <s:f>IF(A56&gt;Assumptions!$B$31,0,D56*IF(A56&lt;Assumptions!$B$37,Assumptions!$B$30,Assumptions!$B$36)/12)</s:f>
        <s:v>5362.146995232152</s:v>
      </s:c>
      <s:c r="F56" s="21">
        <s:f>IF(A56&gt;Assumptions!$B$35,0,MIN(E56,D56*Assumptions!$B$34/12))</s:f>
        <s:v>0.0</s:v>
      </s:c>
      <s:c r="G56" s="21">
        <s:f>E56-F56</s:f>
        <s:v>5362.146995232152</s:v>
      </s:c>
      <s:c r="H56" s="21">
        <s:f>IF(A56&gt;Assumptions!$B$31,0,IF(A56&lt;=Assumptions!$B$32+1,0,MIN(D56,PMT(IF(A56&lt;Assumptions!$B$37,Assumptions!$B$30,Assumptions!$B$36)/12,Assumptions!$B$31-A56+1,-D56)-E56)))</s:f>
        <s:v>4656.101221342898</s:v>
      </s:c>
      <s:c r="I56" s="21">
        <s:f>IF(A56&gt;Assumptions!$B$31,0,IF(A56&lt;=Assumptions!$B$32,0,IF(A56=Assumptions!$B$32+1,K55+G56,H56+G56)))</s:f>
        <s:v>10018.24821657505</s:v>
      </s:c>
      <s:c r="J56" s="21">
        <s:f>D56-H56</s:f>
        <s:v>475536.167008402</s:v>
      </s:c>
      <s:c r="K56" s="21">
        <s:f>IF(A56&lt;=Assumptions!$B$32,K55+G56,0)</s:f>
        <s:v>0.0</s:v>
      </s:c>
    </s:row>
    <s:row r="57">
      <s:c r="A57" s="64" t="n">
        <s:v>53</s:v>
      </s:c>
      <s:c r="B57" s="65">
        <s:f>EDATE(DATE(2026,6,17),A57)</s:f>
        <s:v>47804.0</s:v>
      </s:c>
      <s:c r="C57" s="64">
        <s:f>INT((A57-1)/12)+1</s:f>
        <s:v>5.0</s:v>
      </s:c>
      <s:c r="D57" s="21">
        <s:f>J56</s:f>
        <s:v>475536.167008402</s:v>
      </s:c>
      <s:c r="E57" s="21">
        <s:f>IF(A57&gt;Assumptions!$B$31,0,D57*IF(A57&lt;Assumptions!$B$37,Assumptions!$B$30,Assumptions!$B$36)/12)</s:f>
        <s:v>5310.153864927156</s:v>
      </s:c>
      <s:c r="F57" s="21">
        <s:f>IF(A57&gt;Assumptions!$B$35,0,MIN(E57,D57*Assumptions!$B$34/12))</s:f>
        <s:v>0.0</s:v>
      </s:c>
      <s:c r="G57" s="21">
        <s:f>E57-F57</s:f>
        <s:v>5310.153864927156</s:v>
      </s:c>
      <s:c r="H57" s="21">
        <s:f>IF(A57&gt;Assumptions!$B$31,0,IF(A57&lt;=Assumptions!$B$32+1,0,MIN(D57,PMT(IF(A57&lt;Assumptions!$B$37,Assumptions!$B$30,Assumptions!$B$36)/12,Assumptions!$B$31-A57+1,-D57)-E57)))</s:f>
        <s:v>4708.094351647896</s:v>
      </s:c>
      <s:c r="I57" s="21">
        <s:f>IF(A57&gt;Assumptions!$B$31,0,IF(A57&lt;=Assumptions!$B$32,0,IF(A57=Assumptions!$B$32+1,K56+G57,H57+G57)))</s:f>
        <s:v>10018.248216575052</s:v>
      </s:c>
      <s:c r="J57" s="21">
        <s:f>D57-H57</s:f>
        <s:v>470828.0726567541</s:v>
      </s:c>
      <s:c r="K57" s="21">
        <s:f>IF(A57&lt;=Assumptions!$B$32,K56+G57,0)</s:f>
        <s:v>0.0</s:v>
      </s:c>
    </s:row>
    <s:row r="58">
      <s:c r="A58" s="64" t="n">
        <s:v>54</s:v>
      </s:c>
      <s:c r="B58" s="65">
        <s:f>EDATE(DATE(2026,6,17),A58)</s:f>
        <s:v>47834.0</s:v>
      </s:c>
      <s:c r="C58" s="64">
        <s:f>INT((A58-1)/12)+1</s:f>
        <s:v>5.0</s:v>
      </s:c>
      <s:c r="D58" s="21">
        <s:f>J57</s:f>
        <s:v>470828.0726567541</s:v>
      </s:c>
      <s:c r="E58" s="21">
        <s:f>IF(A58&gt;Assumptions!$B$31,0,D58*IF(A58&lt;Assumptions!$B$37,Assumptions!$B$30,Assumptions!$B$36)/12)</s:f>
        <s:v>5257.580144667088</s:v>
      </s:c>
      <s:c r="F58" s="21">
        <s:f>IF(A58&gt;Assumptions!$B$35,0,MIN(E58,D58*Assumptions!$B$34/12))</s:f>
        <s:v>0.0</s:v>
      </s:c>
      <s:c r="G58" s="21">
        <s:f>E58-F58</s:f>
        <s:v>5257.580144667088</s:v>
      </s:c>
      <s:c r="H58" s="21">
        <s:f>IF(A58&gt;Assumptions!$B$31,0,IF(A58&lt;=Assumptions!$B$32+1,0,MIN(D58,PMT(IF(A58&lt;Assumptions!$B$37,Assumptions!$B$30,Assumptions!$B$36)/12,Assumptions!$B$31-A58+1,-D58)-E58)))</s:f>
        <s:v>4760.668071907964</s:v>
      </s:c>
      <s:c r="I58" s="21">
        <s:f>IF(A58&gt;Assumptions!$B$31,0,IF(A58&lt;=Assumptions!$B$32,0,IF(A58=Assumptions!$B$32+1,K57+G58,H58+G58)))</s:f>
        <s:v>10018.248216575052</s:v>
      </s:c>
      <s:c r="J58" s="21">
        <s:f>D58-H58</s:f>
        <s:v>466067.40458484617</s:v>
      </s:c>
      <s:c r="K58" s="21">
        <s:f>IF(A58&lt;=Assumptions!$B$32,K57+G58,0)</s:f>
        <s:v>0.0</s:v>
      </s:c>
    </s:row>
    <s:row r="59">
      <s:c r="A59" s="64" t="n">
        <s:v>55</s:v>
      </s:c>
      <s:c r="B59" s="65">
        <s:f>EDATE(DATE(2026,6,17),A59)</s:f>
        <s:v>47865.0</s:v>
      </s:c>
      <s:c r="C59" s="64">
        <s:f>INT((A59-1)/12)+1</s:f>
        <s:v>5.0</s:v>
      </s:c>
      <s:c r="D59" s="21">
        <s:f>J58</s:f>
        <s:v>466067.40458484617</s:v>
      </s:c>
      <s:c r="E59" s="21">
        <s:f>IF(A59&gt;Assumptions!$B$31,0,D59*IF(A59&lt;Assumptions!$B$37,Assumptions!$B$30,Assumptions!$B$36)/12)</s:f>
        <s:v>5204.419351197449</s:v>
      </s:c>
      <s:c r="F59" s="21">
        <s:f>IF(A59&gt;Assumptions!$B$35,0,MIN(E59,D59*Assumptions!$B$34/12))</s:f>
        <s:v>0.0</s:v>
      </s:c>
      <s:c r="G59" s="21">
        <s:f>E59-F59</s:f>
        <s:v>5204.419351197449</s:v>
      </s:c>
      <s:c r="H59" s="21">
        <s:f>IF(A59&gt;Assumptions!$B$31,0,IF(A59&lt;=Assumptions!$B$32+1,0,MIN(D59,PMT(IF(A59&lt;Assumptions!$B$37,Assumptions!$B$30,Assumptions!$B$36)/12,Assumptions!$B$31-A59+1,-D59)-E59)))</s:f>
        <s:v>4813.828865377604</s:v>
      </s:c>
      <s:c r="I59" s="21">
        <s:f>IF(A59&gt;Assumptions!$B$31,0,IF(A59&lt;=Assumptions!$B$32,0,IF(A59=Assumptions!$B$32+1,K58+G59,H59+G59)))</s:f>
        <s:v>10018.248216575053</s:v>
      </s:c>
      <s:c r="J59" s="21">
        <s:f>D59-H59</s:f>
        <s:v>461253.5757194686</s:v>
      </s:c>
      <s:c r="K59" s="21">
        <s:f>IF(A59&lt;=Assumptions!$B$32,K58+G59,0)</s:f>
        <s:v>0.0</s:v>
      </s:c>
    </s:row>
    <s:row r="60">
      <s:c r="A60" s="64" t="n">
        <s:v>56</s:v>
      </s:c>
      <s:c r="B60" s="65">
        <s:f>EDATE(DATE(2026,6,17),A60)</s:f>
        <s:v>47896.0</s:v>
      </s:c>
      <s:c r="C60" s="64">
        <s:f>INT((A60-1)/12)+1</s:f>
        <s:v>5.0</s:v>
      </s:c>
      <s:c r="D60" s="21">
        <s:f>J59</s:f>
        <s:v>461253.5757194686</s:v>
      </s:c>
      <s:c r="E60" s="21">
        <s:f>IF(A60&gt;Assumptions!$B$31,0,D60*IF(A60&lt;Assumptions!$B$37,Assumptions!$B$30,Assumptions!$B$36)/12)</s:f>
        <s:v>5150.6649288674</s:v>
      </s:c>
      <s:c r="F60" s="21">
        <s:f>IF(A60&gt;Assumptions!$B$35,0,MIN(E60,D60*Assumptions!$B$34/12))</s:f>
        <s:v>0.0</s:v>
      </s:c>
      <s:c r="G60" s="21">
        <s:f>E60-F60</s:f>
        <s:v>5150.6649288674</s:v>
      </s:c>
      <s:c r="H60" s="21">
        <s:f>IF(A60&gt;Assumptions!$B$31,0,IF(A60&lt;=Assumptions!$B$32+1,0,MIN(D60,PMT(IF(A60&lt;Assumptions!$B$37,Assumptions!$B$30,Assumptions!$B$36)/12,Assumptions!$B$31-A60+1,-D60)-E60)))</s:f>
        <s:v>4867.5832877076555</s:v>
      </s:c>
      <s:c r="I60" s="21">
        <s:f>IF(A60&gt;Assumptions!$B$31,0,IF(A60&lt;=Assumptions!$B$32,0,IF(A60=Assumptions!$B$32+1,K59+G60,H60+G60)))</s:f>
        <s:v>10018.248216575055</s:v>
      </s:c>
      <s:c r="J60" s="21">
        <s:f>D60-H60</s:f>
        <s:v>456385.99243176094</s:v>
      </s:c>
      <s:c r="K60" s="21">
        <s:f>IF(A60&lt;=Assumptions!$B$32,K59+G60,0)</s:f>
        <s:v>0.0</s:v>
      </s:c>
    </s:row>
    <s:row r="61">
      <s:c r="A61" s="64" t="n">
        <s:v>57</s:v>
      </s:c>
      <s:c r="B61" s="65">
        <s:f>EDATE(DATE(2026,6,17),A61)</s:f>
        <s:v>47924.0</s:v>
      </s:c>
      <s:c r="C61" s="64">
        <s:f>INT((A61-1)/12)+1</s:f>
        <s:v>5.0</s:v>
      </s:c>
      <s:c r="D61" s="21">
        <s:f>J60</s:f>
        <s:v>456385.99243176094</s:v>
      </s:c>
      <s:c r="E61" s="21">
        <s:f>IF(A61&gt;Assumptions!$B$31,0,D61*IF(A61&lt;Assumptions!$B$37,Assumptions!$B$30,Assumptions!$B$36)/12)</s:f>
        <s:v>5096.310248821331</s:v>
      </s:c>
      <s:c r="F61" s="21">
        <s:f>IF(A61&gt;Assumptions!$B$35,0,MIN(E61,D61*Assumptions!$B$34/12))</s:f>
        <s:v>0.0</s:v>
      </s:c>
      <s:c r="G61" s="21">
        <s:f>E61-F61</s:f>
        <s:v>5096.310248821331</s:v>
      </s:c>
      <s:c r="H61" s="21">
        <s:f>IF(A61&gt;Assumptions!$B$31,0,IF(A61&lt;=Assumptions!$B$32+1,0,MIN(D61,PMT(IF(A61&lt;Assumptions!$B$37,Assumptions!$B$30,Assumptions!$B$36)/12,Assumptions!$B$31-A61+1,-D61)-E61)))</s:f>
        <s:v>4921.937967753726</s:v>
      </s:c>
      <s:c r="I61" s="21">
        <s:f>IF(A61&gt;Assumptions!$B$31,0,IF(A61&lt;=Assumptions!$B$32,0,IF(A61=Assumptions!$B$32+1,K60+G61,H61+G61)))</s:f>
        <s:v>10018.248216575057</s:v>
      </s:c>
      <s:c r="J61" s="21">
        <s:f>D61-H61</s:f>
        <s:v>451464.0544640072</s:v>
      </s:c>
      <s:c r="K61" s="21">
        <s:f>IF(A61&lt;=Assumptions!$B$32,K60+G61,0)</s:f>
        <s:v>0.0</s:v>
      </s:c>
    </s:row>
    <s:row r="62">
      <s:c r="A62" s="64" t="n">
        <s:v>58</s:v>
      </s:c>
      <s:c r="B62" s="65">
        <s:f>EDATE(DATE(2026,6,17),A62)</s:f>
        <s:v>47955.0</s:v>
      </s:c>
      <s:c r="C62" s="64">
        <s:f>INT((A62-1)/12)+1</s:f>
        <s:v>5.0</s:v>
      </s:c>
      <s:c r="D62" s="21">
        <s:f>J61</s:f>
        <s:v>451464.0544640072</s:v>
      </s:c>
      <s:c r="E62" s="21">
        <s:f>IF(A62&gt;Assumptions!$B$31,0,D62*IF(A62&lt;Assumptions!$B$37,Assumptions!$B$30,Assumptions!$B$36)/12)</s:f>
        <s:v>5041.348608181414</s:v>
      </s:c>
      <s:c r="F62" s="21">
        <s:f>IF(A62&gt;Assumptions!$B$35,0,MIN(E62,D62*Assumptions!$B$34/12))</s:f>
        <s:v>0.0</s:v>
      </s:c>
      <s:c r="G62" s="21">
        <s:f>E62-F62</s:f>
        <s:v>5041.348608181414</s:v>
      </s:c>
      <s:c r="H62" s="21">
        <s:f>IF(A62&gt;Assumptions!$B$31,0,IF(A62&lt;=Assumptions!$B$32+1,0,MIN(D62,PMT(IF(A62&lt;Assumptions!$B$37,Assumptions!$B$30,Assumptions!$B$36)/12,Assumptions!$B$31-A62+1,-D62)-E62)))</s:f>
        <s:v>4976.899608393643</s:v>
      </s:c>
      <s:c r="I62" s="21">
        <s:f>IF(A62&gt;Assumptions!$B$31,0,IF(A62&lt;=Assumptions!$B$32,0,IF(A62=Assumptions!$B$32+1,K61+G62,H62+G62)))</s:f>
        <s:v>10018.248216575057</s:v>
      </s:c>
      <s:c r="J62" s="21">
        <s:f>D62-H62</s:f>
        <s:v>446487.15485561354</s:v>
      </s:c>
      <s:c r="K62" s="21">
        <s:f>IF(A62&lt;=Assumptions!$B$32,K61+G62,0)</s:f>
        <s:v>0.0</s:v>
      </s:c>
    </s:row>
    <s:row r="63">
      <s:c r="A63" s="64" t="n">
        <s:v>59</s:v>
      </s:c>
      <s:c r="B63" s="65">
        <s:f>EDATE(DATE(2026,6,17),A63)</s:f>
        <s:v>47985.0</s:v>
      </s:c>
      <s:c r="C63" s="64">
        <s:f>INT((A63-1)/12)+1</s:f>
        <s:v>5.0</s:v>
      </s:c>
      <s:c r="D63" s="21">
        <s:f>J62</s:f>
        <s:v>446487.15485561354</s:v>
      </s:c>
      <s:c r="E63" s="21">
        <s:f>IF(A63&gt;Assumptions!$B$31,0,D63*IF(A63&lt;Assumptions!$B$37,Assumptions!$B$30,Assumptions!$B$36)/12)</s:f>
        <s:v>4985.773229221018</s:v>
      </s:c>
      <s:c r="F63" s="21">
        <s:f>IF(A63&gt;Assumptions!$B$35,0,MIN(E63,D63*Assumptions!$B$34/12))</s:f>
        <s:v>0.0</s:v>
      </s:c>
      <s:c r="G63" s="21">
        <s:f>E63-F63</s:f>
        <s:v>4985.773229221018</s:v>
      </s:c>
      <s:c r="H63" s="21">
        <s:f>IF(A63&gt;Assumptions!$B$31,0,IF(A63&lt;=Assumptions!$B$32+1,0,MIN(D63,PMT(IF(A63&lt;Assumptions!$B$37,Assumptions!$B$30,Assumptions!$B$36)/12,Assumptions!$B$31-A63+1,-D63)-E63)))</s:f>
        <s:v>5032.474987354041</s:v>
      </s:c>
      <s:c r="I63" s="21">
        <s:f>IF(A63&gt;Assumptions!$B$31,0,IF(A63&lt;=Assumptions!$B$32,0,IF(A63=Assumptions!$B$32+1,K62+G63,H63+G63)))</s:f>
        <s:v>10018.248216575059</s:v>
      </s:c>
      <s:c r="J63" s="21">
        <s:f>D63-H63</s:f>
        <s:v>441454.6798682595</s:v>
      </s:c>
      <s:c r="K63" s="21">
        <s:f>IF(A63&lt;=Assumptions!$B$32,K62+G63,0)</s:f>
        <s:v>0.0</s:v>
      </s:c>
    </s:row>
    <s:row r="64">
      <s:c r="A64" s="64" t="n">
        <s:v>60</s:v>
      </s:c>
      <s:c r="B64" s="65">
        <s:f>EDATE(DATE(2026,6,17),A64)</s:f>
        <s:v>48016.0</s:v>
      </s:c>
      <s:c r="C64" s="64">
        <s:f>INT((A64-1)/12)+1</s:f>
        <s:v>5.0</s:v>
      </s:c>
      <s:c r="D64" s="21">
        <s:f>J63</s:f>
        <s:v>441454.6798682595</s:v>
      </s:c>
      <s:c r="E64" s="21">
        <s:f>IF(A64&gt;Assumptions!$B$31,0,D64*IF(A64&lt;Assumptions!$B$37,Assumptions!$B$30,Assumptions!$B$36)/12)</s:f>
        <s:v>4929.577258528899</s:v>
      </s:c>
      <s:c r="F64" s="21">
        <s:f>IF(A64&gt;Assumptions!$B$35,0,MIN(E64,D64*Assumptions!$B$34/12))</s:f>
        <s:v>0.0</s:v>
      </s:c>
      <s:c r="G64" s="21">
        <s:f>E64-F64</s:f>
        <s:v>4929.577258528899</s:v>
      </s:c>
      <s:c r="H64" s="21">
        <s:f>IF(A64&gt;Assumptions!$B$31,0,IF(A64&lt;=Assumptions!$B$32+1,0,MIN(D64,PMT(IF(A64&lt;Assumptions!$B$37,Assumptions!$B$30,Assumptions!$B$36)/12,Assumptions!$B$31-A64+1,-D64)-E64)))</s:f>
        <s:v>5088.67095804616</s:v>
      </s:c>
      <s:c r="I64" s="21">
        <s:f>IF(A64&gt;Assumptions!$B$31,0,IF(A64&lt;=Assumptions!$B$32,0,IF(A64=Assumptions!$B$32+1,K63+G64,H64+G64)))</s:f>
        <s:v>10018.248216575059</s:v>
      </s:c>
      <s:c r="J64" s="21">
        <s:f>D64-H64</s:f>
        <s:v>436366.00891021336</s:v>
      </s:c>
      <s:c r="K64" s="21">
        <s:f>IF(A64&lt;=Assumptions!$B$32,K63+G64,0)</s:f>
        <s:v>0.0</s:v>
      </s:c>
    </s:row>
    <s:row r="65">
      <s:c r="A65" s="64" t="n">
        <s:v>61</s:v>
      </s:c>
      <s:c r="B65" s="65">
        <s:f>EDATE(DATE(2026,6,17),A65)</s:f>
        <s:v>48046.0</s:v>
      </s:c>
      <s:c r="C65" s="64">
        <s:f>INT((A65-1)/12)+1</s:f>
        <s:v>6.0</s:v>
      </s:c>
      <s:c r="D65" s="21">
        <s:f>J64</s:f>
        <s:v>436366.00891021336</s:v>
      </s:c>
      <s:c r="E65" s="21">
        <s:f>IF(A65&gt;Assumptions!$B$31,0,D65*IF(A65&lt;Assumptions!$B$37,Assumptions!$B$30,Assumptions!$B$36)/12)</s:f>
        <s:v>4872.75376616405</s:v>
      </s:c>
      <s:c r="F65" s="21">
        <s:f>IF(A65&gt;Assumptions!$B$35,0,MIN(E65,D65*Assumptions!$B$34/12))</s:f>
        <s:v>0.0</s:v>
      </s:c>
      <s:c r="G65" s="21">
        <s:f>E65-F65</s:f>
        <s:v>4872.75376616405</s:v>
      </s:c>
      <s:c r="H65" s="21">
        <s:f>IF(A65&gt;Assumptions!$B$31,0,IF(A65&lt;=Assumptions!$B$32+1,0,MIN(D65,PMT(IF(A65&lt;Assumptions!$B$37,Assumptions!$B$30,Assumptions!$B$36)/12,Assumptions!$B$31-A65+1,-D65)-E65)))</s:f>
        <s:v>5145.494450411009</s:v>
      </s:c>
      <s:c r="I65" s="21">
        <s:f>IF(A65&gt;Assumptions!$B$31,0,IF(A65&lt;=Assumptions!$B$32,0,IF(A65=Assumptions!$B$32+1,K64+G65,H65+G65)))</s:f>
        <s:v>10018.248216575059</s:v>
      </s:c>
      <s:c r="J65" s="21">
        <s:f>D65-H65</s:f>
        <s:v>431220.51445980236</s:v>
      </s:c>
      <s:c r="K65" s="21">
        <s:f>IF(A65&lt;=Assumptions!$B$32,K64+G65,0)</s:f>
        <s:v>0.0</s:v>
      </s:c>
    </s:row>
    <s:row r="66">
      <s:c r="A66" s="64" t="n">
        <s:v>62</s:v>
      </s:c>
      <s:c r="B66" s="65">
        <s:f>EDATE(DATE(2026,6,17),A66)</s:f>
        <s:v>48077.0</s:v>
      </s:c>
      <s:c r="C66" s="64">
        <s:f>INT((A66-1)/12)+1</s:f>
        <s:v>6.0</s:v>
      </s:c>
      <s:c r="D66" s="21">
        <s:f>J65</s:f>
        <s:v>431220.51445980236</s:v>
      </s:c>
      <s:c r="E66" s="21">
        <s:f>IF(A66&gt;Assumptions!$B$31,0,D66*IF(A66&lt;Assumptions!$B$37,Assumptions!$B$30,Assumptions!$B$36)/12)</s:f>
        <s:v>4815.295744801127</s:v>
      </s:c>
      <s:c r="F66" s="21">
        <s:f>IF(A66&gt;Assumptions!$B$35,0,MIN(E66,D66*Assumptions!$B$34/12))</s:f>
        <s:v>0.0</s:v>
      </s:c>
      <s:c r="G66" s="21">
        <s:f>E66-F66</s:f>
        <s:v>4815.295744801127</s:v>
      </s:c>
      <s:c r="H66" s="21">
        <s:f>IF(A66&gt;Assumptions!$B$31,0,IF(A66&lt;=Assumptions!$B$32+1,0,MIN(D66,PMT(IF(A66&lt;Assumptions!$B$37,Assumptions!$B$30,Assumptions!$B$36)/12,Assumptions!$B$31-A66+1,-D66)-E66)))</s:f>
        <s:v>5202.952471773934</s:v>
      </s:c>
      <s:c r="I66" s="21">
        <s:f>IF(A66&gt;Assumptions!$B$31,0,IF(A66&lt;=Assumptions!$B$32,0,IF(A66=Assumptions!$B$32+1,K65+G66,H66+G66)))</s:f>
        <s:v>10018.24821657506</s:v>
      </s:c>
      <s:c r="J66" s="21">
        <s:f>D66-H66</s:f>
        <s:v>426017.5619880284</s:v>
      </s:c>
      <s:c r="K66" s="21">
        <s:f>IF(A66&lt;=Assumptions!$B$32,K65+G66,0)</s:f>
        <s:v>0.0</s:v>
      </s:c>
    </s:row>
    <s:row r="67">
      <s:c r="A67" s="64" t="n">
        <s:v>63</s:v>
      </s:c>
      <s:c r="B67" s="65">
        <s:f>EDATE(DATE(2026,6,17),A67)</s:f>
        <s:v>48108.0</s:v>
      </s:c>
      <s:c r="C67" s="64">
        <s:f>INT((A67-1)/12)+1</s:f>
        <s:v>6.0</s:v>
      </s:c>
      <s:c r="D67" s="21">
        <s:f>J66</s:f>
        <s:v>426017.5619880284</s:v>
      </s:c>
      <s:c r="E67" s="21">
        <s:f>IF(A67&gt;Assumptions!$B$31,0,D67*IF(A67&lt;Assumptions!$B$37,Assumptions!$B$30,Assumptions!$B$36)/12)</s:f>
        <s:v>4757.196108866317</s:v>
      </s:c>
      <s:c r="F67" s="21">
        <s:f>IF(A67&gt;Assumptions!$B$35,0,MIN(E67,D67*Assumptions!$B$34/12))</s:f>
        <s:v>0.0</s:v>
      </s:c>
      <s:c r="G67" s="21">
        <s:f>E67-F67</s:f>
        <s:v>4757.196108866317</s:v>
      </s:c>
      <s:c r="H67" s="21">
        <s:f>IF(A67&gt;Assumptions!$B$31,0,IF(A67&lt;=Assumptions!$B$32+1,0,MIN(D67,PMT(IF(A67&lt;Assumptions!$B$37,Assumptions!$B$30,Assumptions!$B$36)/12,Assumptions!$B$31-A67+1,-D67)-E67)))</s:f>
        <s:v>5261.052107708743</s:v>
      </s:c>
      <s:c r="I67" s="21">
        <s:f>IF(A67&gt;Assumptions!$B$31,0,IF(A67&lt;=Assumptions!$B$32,0,IF(A67=Assumptions!$B$32+1,K66+G67,H67+G67)))</s:f>
        <s:v>10018.24821657506</s:v>
      </s:c>
      <s:c r="J67" s="21">
        <s:f>D67-H67</s:f>
        <s:v>420756.50988031965</s:v>
      </s:c>
      <s:c r="K67" s="21">
        <s:f>IF(A67&lt;=Assumptions!$B$32,K66+G67,0)</s:f>
        <s:v>0.0</s:v>
      </s:c>
    </s:row>
    <s:row r="68">
      <s:c r="A68" s="64" t="n">
        <s:v>64</s:v>
      </s:c>
      <s:c r="B68" s="65">
        <s:f>EDATE(DATE(2026,6,17),A68)</s:f>
        <s:v>48138.0</s:v>
      </s:c>
      <s:c r="C68" s="64">
        <s:f>INT((A68-1)/12)+1</s:f>
        <s:v>6.0</s:v>
      </s:c>
      <s:c r="D68" s="21">
        <s:f>J67</s:f>
        <s:v>420756.50988031965</s:v>
      </s:c>
      <s:c r="E68" s="21">
        <s:f>IF(A68&gt;Assumptions!$B$31,0,D68*IF(A68&lt;Assumptions!$B$37,Assumptions!$B$30,Assumptions!$B$36)/12)</s:f>
        <s:v>4698.44769366357</s:v>
      </s:c>
      <s:c r="F68" s="21">
        <s:f>IF(A68&gt;Assumptions!$B$35,0,MIN(E68,D68*Assumptions!$B$34/12))</s:f>
        <s:v>0.0</s:v>
      </s:c>
      <s:c r="G68" s="21">
        <s:f>E68-F68</s:f>
        <s:v>4698.44769366357</s:v>
      </s:c>
      <s:c r="H68" s="21">
        <s:f>IF(A68&gt;Assumptions!$B$31,0,IF(A68&lt;=Assumptions!$B$32+1,0,MIN(D68,PMT(IF(A68&lt;Assumptions!$B$37,Assumptions!$B$30,Assumptions!$B$36)/12,Assumptions!$B$31-A68+1,-D68)-E68)))</s:f>
        <s:v>5319.800522911492</s:v>
      </s:c>
      <s:c r="I68" s="21">
        <s:f>IF(A68&gt;Assumptions!$B$31,0,IF(A68&lt;=Assumptions!$B$32,0,IF(A68=Assumptions!$B$32+1,K67+G68,H68+G68)))</s:f>
        <s:v>10018.248216575063</s:v>
      </s:c>
      <s:c r="J68" s="21">
        <s:f>D68-H68</s:f>
        <s:v>415436.70935740817</s:v>
      </s:c>
      <s:c r="K68" s="21">
        <s:f>IF(A68&lt;=Assumptions!$B$32,K67+G68,0)</s:f>
        <s:v>0.0</s:v>
      </s:c>
    </s:row>
    <s:row r="69">
      <s:c r="A69" s="64" t="n">
        <s:v>65</s:v>
      </s:c>
      <s:c r="B69" s="65">
        <s:f>EDATE(DATE(2026,6,17),A69)</s:f>
        <s:v>48169.0</s:v>
      </s:c>
      <s:c r="C69" s="64">
        <s:f>INT((A69-1)/12)+1</s:f>
        <s:v>6.0</s:v>
      </s:c>
      <s:c r="D69" s="21">
        <s:f>J68</s:f>
        <s:v>415436.70935740817</s:v>
      </s:c>
      <s:c r="E69" s="21">
        <s:f>IF(A69&gt;Assumptions!$B$31,0,D69*IF(A69&lt;Assumptions!$B$37,Assumptions!$B$30,Assumptions!$B$36)/12)</s:f>
        <s:v>4639.043254491058</s:v>
      </s:c>
      <s:c r="F69" s="21">
        <s:f>IF(A69&gt;Assumptions!$B$35,0,MIN(E69,D69*Assumptions!$B$34/12))</s:f>
        <s:v>0.0</s:v>
      </s:c>
      <s:c r="G69" s="21">
        <s:f>E69-F69</s:f>
        <s:v>4639.043254491058</s:v>
      </s:c>
      <s:c r="H69" s="21">
        <s:f>IF(A69&gt;Assumptions!$B$31,0,IF(A69&lt;=Assumptions!$B$32+1,0,MIN(D69,PMT(IF(A69&lt;Assumptions!$B$37,Assumptions!$B$30,Assumptions!$B$36)/12,Assumptions!$B$31-A69+1,-D69)-E69)))</s:f>
        <s:v>5379.204962084006</s:v>
      </s:c>
      <s:c r="I69" s="21">
        <s:f>IF(A69&gt;Assumptions!$B$31,0,IF(A69&lt;=Assumptions!$B$32,0,IF(A69=Assumptions!$B$32+1,K68+G69,H69+G69)))</s:f>
        <s:v>10018.248216575064</s:v>
      </s:c>
      <s:c r="J69" s="21">
        <s:f>D69-H69</s:f>
        <s:v>410057.50439532415</s:v>
      </s:c>
      <s:c r="K69" s="21">
        <s:f>IF(A69&lt;=Assumptions!$B$32,K68+G69,0)</s:f>
        <s:v>0.0</s:v>
      </s:c>
    </s:row>
    <s:row r="70">
      <s:c r="A70" s="64" t="n">
        <s:v>66</s:v>
      </s:c>
      <s:c r="B70" s="65">
        <s:f>EDATE(DATE(2026,6,17),A70)</s:f>
        <s:v>48199.0</s:v>
      </s:c>
      <s:c r="C70" s="64">
        <s:f>INT((A70-1)/12)+1</s:f>
        <s:v>6.0</s:v>
      </s:c>
      <s:c r="D70" s="21">
        <s:f>J69</s:f>
        <s:v>410057.50439532415</s:v>
      </s:c>
      <s:c r="E70" s="21">
        <s:f>IF(A70&gt;Assumptions!$B$31,0,D70*IF(A70&lt;Assumptions!$B$37,Assumptions!$B$30,Assumptions!$B$36)/12)</s:f>
        <s:v>4578.975465747787</s:v>
      </s:c>
      <s:c r="F70" s="21">
        <s:f>IF(A70&gt;Assumptions!$B$35,0,MIN(E70,D70*Assumptions!$B$34/12))</s:f>
        <s:v>0.0</s:v>
      </s:c>
      <s:c r="G70" s="21">
        <s:f>E70-F70</s:f>
        <s:v>4578.975465747787</s:v>
      </s:c>
      <s:c r="H70" s="21">
        <s:f>IF(A70&gt;Assumptions!$B$31,0,IF(A70&lt;=Assumptions!$B$32+1,0,MIN(D70,PMT(IF(A70&lt;Assumptions!$B$37,Assumptions!$B$30,Assumptions!$B$36)/12,Assumptions!$B$31-A70+1,-D70)-E70)))</s:f>
        <s:v>5439.272750827276</s:v>
      </s:c>
      <s:c r="I70" s="21">
        <s:f>IF(A70&gt;Assumptions!$B$31,0,IF(A70&lt;=Assumptions!$B$32,0,IF(A70=Assumptions!$B$32+1,K69+G70,H70+G70)))</s:f>
        <s:v>10018.248216575063</s:v>
      </s:c>
      <s:c r="J70" s="21">
        <s:f>D70-H70</s:f>
        <s:v>404618.2316444969</s:v>
      </s:c>
      <s:c r="K70" s="21">
        <s:f>IF(A70&lt;=Assumptions!$B$32,K69+G70,0)</s:f>
        <s:v>0.0</s:v>
      </s:c>
    </s:row>
    <s:row r="71">
      <s:c r="A71" s="64" t="n">
        <s:v>67</s:v>
      </s:c>
      <s:c r="B71" s="65">
        <s:f>EDATE(DATE(2026,6,17),A71)</s:f>
        <s:v>48230.0</s:v>
      </s:c>
      <s:c r="C71" s="64">
        <s:f>INT((A71-1)/12)+1</s:f>
        <s:v>6.0</s:v>
      </s:c>
      <s:c r="D71" s="21">
        <s:f>J70</s:f>
        <s:v>404618.2316444969</s:v>
      </s:c>
      <s:c r="E71" s="21">
        <s:f>IF(A71&gt;Assumptions!$B$31,0,D71*IF(A71&lt;Assumptions!$B$37,Assumptions!$B$30,Assumptions!$B$36)/12)</s:f>
        <s:v>4518.2369200302155</s:v>
      </s:c>
      <s:c r="F71" s="21">
        <s:f>IF(A71&gt;Assumptions!$B$35,0,MIN(E71,D71*Assumptions!$B$34/12))</s:f>
        <s:v>0.0</s:v>
      </s:c>
      <s:c r="G71" s="21">
        <s:f>E71-F71</s:f>
        <s:v>4518.2369200302155</s:v>
      </s:c>
      <s:c r="H71" s="21">
        <s:f>IF(A71&gt;Assumptions!$B$31,0,IF(A71&lt;=Assumptions!$B$32+1,0,MIN(D71,PMT(IF(A71&lt;Assumptions!$B$37,Assumptions!$B$30,Assumptions!$B$36)/12,Assumptions!$B$31-A71+1,-D71)-E71)))</s:f>
        <s:v>5500.0112965448525</s:v>
      </s:c>
      <s:c r="I71" s="21">
        <s:f>IF(A71&gt;Assumptions!$B$31,0,IF(A71&lt;=Assumptions!$B$32,0,IF(A71=Assumptions!$B$32+1,K70+G71,H71+G71)))</s:f>
        <s:v>10018.248216575068</s:v>
      </s:c>
      <s:c r="J71" s="21">
        <s:f>D71-H71</s:f>
        <s:v>399118.22034795204</s:v>
      </s:c>
      <s:c r="K71" s="21">
        <s:f>IF(A71&lt;=Assumptions!$B$32,K70+G71,0)</s:f>
        <s:v>0.0</s:v>
      </s:c>
    </s:row>
    <s:row r="72">
      <s:c r="A72" s="64" t="n">
        <s:v>68</s:v>
      </s:c>
      <s:c r="B72" s="65">
        <s:f>EDATE(DATE(2026,6,17),A72)</s:f>
        <s:v>48261.0</s:v>
      </s:c>
      <s:c r="C72" s="64">
        <s:f>INT((A72-1)/12)+1</s:f>
        <s:v>6.0</s:v>
      </s:c>
      <s:c r="D72" s="21">
        <s:f>J71</s:f>
        <s:v>399118.22034795204</s:v>
      </s:c>
      <s:c r="E72" s="21">
        <s:f>IF(A72&gt;Assumptions!$B$31,0,D72*IF(A72&lt;Assumptions!$B$37,Assumptions!$B$30,Assumptions!$B$36)/12)</s:f>
        <s:v>4456.820127218798</s:v>
      </s:c>
      <s:c r="F72" s="21">
        <s:f>IF(A72&gt;Assumptions!$B$35,0,MIN(E72,D72*Assumptions!$B$34/12))</s:f>
        <s:v>0.0</s:v>
      </s:c>
      <s:c r="G72" s="21">
        <s:f>E72-F72</s:f>
        <s:v>4456.820127218798</s:v>
      </s:c>
      <s:c r="H72" s="21">
        <s:f>IF(A72&gt;Assumptions!$B$31,0,IF(A72&lt;=Assumptions!$B$32+1,0,MIN(D72,PMT(IF(A72&lt;Assumptions!$B$37,Assumptions!$B$30,Assumptions!$B$36)/12,Assumptions!$B$31-A72+1,-D72)-E72)))</s:f>
        <s:v>5561.428089356268</s:v>
      </s:c>
      <s:c r="I72" s="21">
        <s:f>IF(A72&gt;Assumptions!$B$31,0,IF(A72&lt;=Assumptions!$B$32,0,IF(A72=Assumptions!$B$32+1,K71+G72,H72+G72)))</s:f>
        <s:v>10018.248216575066</s:v>
      </s:c>
      <s:c r="J72" s="21">
        <s:f>D72-H72</s:f>
        <s:v>393556.79225859576</s:v>
      </s:c>
      <s:c r="K72" s="21">
        <s:f>IF(A72&lt;=Assumptions!$B$32,K71+G72,0)</s:f>
        <s:v>0.0</s:v>
      </s:c>
    </s:row>
    <s:row r="73">
      <s:c r="A73" s="64" t="n">
        <s:v>69</s:v>
      </s:c>
      <s:c r="B73" s="65">
        <s:f>EDATE(DATE(2026,6,17),A73)</s:f>
        <s:v>48290.0</s:v>
      </s:c>
      <s:c r="C73" s="64">
        <s:f>INT((A73-1)/12)+1</s:f>
        <s:v>6.0</s:v>
      </s:c>
      <s:c r="D73" s="21">
        <s:f>J72</s:f>
        <s:v>393556.79225859576</s:v>
      </s:c>
      <s:c r="E73" s="21">
        <s:f>IF(A73&gt;Assumptions!$B$31,0,D73*IF(A73&lt;Assumptions!$B$37,Assumptions!$B$30,Assumptions!$B$36)/12)</s:f>
        <s:v>4394.717513554319</s:v>
      </s:c>
      <s:c r="F73" s="21">
        <s:f>IF(A73&gt;Assumptions!$B$35,0,MIN(E73,D73*Assumptions!$B$34/12))</s:f>
        <s:v>0.0</s:v>
      </s:c>
      <s:c r="G73" s="21">
        <s:f>E73-F73</s:f>
        <s:v>4394.717513554319</s:v>
      </s:c>
      <s:c r="H73" s="21">
        <s:f>IF(A73&gt;Assumptions!$B$31,0,IF(A73&lt;=Assumptions!$B$32+1,0,MIN(D73,PMT(IF(A73&lt;Assumptions!$B$37,Assumptions!$B$30,Assumptions!$B$36)/12,Assumptions!$B$31-A73+1,-D73)-E73)))</s:f>
        <s:v>5623.530703020749</s:v>
      </s:c>
      <s:c r="I73" s="21">
        <s:f>IF(A73&gt;Assumptions!$B$31,0,IF(A73&lt;=Assumptions!$B$32,0,IF(A73=Assumptions!$B$32+1,K72+G73,H73+G73)))</s:f>
        <s:v>10018.248216575068</s:v>
      </s:c>
      <s:c r="J73" s="21">
        <s:f>D73-H73</s:f>
        <s:v>387933.261555575</s:v>
      </s:c>
      <s:c r="K73" s="21">
        <s:f>IF(A73&lt;=Assumptions!$B$32,K72+G73,0)</s:f>
        <s:v>0.0</s:v>
      </s:c>
    </s:row>
    <s:row r="74">
      <s:c r="A74" s="64" t="n">
        <s:v>70</s:v>
      </s:c>
      <s:c r="B74" s="65">
        <s:f>EDATE(DATE(2026,6,17),A74)</s:f>
        <s:v>48321.0</s:v>
      </s:c>
      <s:c r="C74" s="64">
        <s:f>INT((A74-1)/12)+1</s:f>
        <s:v>6.0</s:v>
      </s:c>
      <s:c r="D74" s="21">
        <s:f>J73</s:f>
        <s:v>387933.261555575</s:v>
      </s:c>
      <s:c r="E74" s="21">
        <s:f>IF(A74&gt;Assumptions!$B$31,0,D74*IF(A74&lt;Assumptions!$B$37,Assumptions!$B$30,Assumptions!$B$36)/12)</s:f>
        <s:v>4331.921420703921</s:v>
      </s:c>
      <s:c r="F74" s="21">
        <s:f>IF(A74&gt;Assumptions!$B$35,0,MIN(E74,D74*Assumptions!$B$34/12))</s:f>
        <s:v>0.0</s:v>
      </s:c>
      <s:c r="G74" s="21">
        <s:f>E74-F74</s:f>
        <s:v>4331.921420703921</s:v>
      </s:c>
      <s:c r="H74" s="21">
        <s:f>IF(A74&gt;Assumptions!$B$31,0,IF(A74&lt;=Assumptions!$B$32+1,0,MIN(D74,PMT(IF(A74&lt;Assumptions!$B$37,Assumptions!$B$30,Assumptions!$B$36)/12,Assumptions!$B$31-A74+1,-D74)-E74)))</s:f>
        <s:v>5686.3267958711485</s:v>
      </s:c>
      <s:c r="I74" s="21">
        <s:f>IF(A74&gt;Assumptions!$B$31,0,IF(A74&lt;=Assumptions!$B$32,0,IF(A74=Assumptions!$B$32+1,K73+G74,H74+G74)))</s:f>
        <s:v>10018.24821657507</s:v>
      </s:c>
      <s:c r="J74" s="21">
        <s:f>D74-H74</s:f>
        <s:v>382246.9347597039</s:v>
      </s:c>
      <s:c r="K74" s="21">
        <s:f>IF(A74&lt;=Assumptions!$B$32,K73+G74,0)</s:f>
        <s:v>0.0</s:v>
      </s:c>
    </s:row>
    <s:row r="75">
      <s:c r="A75" s="64" t="n">
        <s:v>71</s:v>
      </s:c>
      <s:c r="B75" s="65">
        <s:f>EDATE(DATE(2026,6,17),A75)</s:f>
        <s:v>48351.0</s:v>
      </s:c>
      <s:c r="C75" s="64">
        <s:f>INT((A75-1)/12)+1</s:f>
        <s:v>6.0</s:v>
      </s:c>
      <s:c r="D75" s="21">
        <s:f>J74</s:f>
        <s:v>382246.9347597039</s:v>
      </s:c>
      <s:c r="E75" s="21">
        <s:f>IF(A75&gt;Assumptions!$B$31,0,D75*IF(A75&lt;Assumptions!$B$37,Assumptions!$B$30,Assumptions!$B$36)/12)</s:f>
        <s:v>4268.424104816693</s:v>
      </s:c>
      <s:c r="F75" s="21">
        <s:f>IF(A75&gt;Assumptions!$B$35,0,MIN(E75,D75*Assumptions!$B$34/12))</s:f>
        <s:v>0.0</s:v>
      </s:c>
      <s:c r="G75" s="21">
        <s:f>E75-F75</s:f>
        <s:v>4268.424104816693</s:v>
      </s:c>
      <s:c r="H75" s="21">
        <s:f>IF(A75&gt;Assumptions!$B$31,0,IF(A75&lt;=Assumptions!$B$32+1,0,MIN(D75,PMT(IF(A75&lt;Assumptions!$B$37,Assumptions!$B$30,Assumptions!$B$36)/12,Assumptions!$B$31-A75+1,-D75)-E75)))</s:f>
        <s:v>5749.82411175838</s:v>
      </s:c>
      <s:c r="I75" s="21">
        <s:f>IF(A75&gt;Assumptions!$B$31,0,IF(A75&lt;=Assumptions!$B$32,0,IF(A75=Assumptions!$B$32+1,K74+G75,H75+G75)))</s:f>
        <s:v>10018.248216575073</s:v>
      </s:c>
      <s:c r="J75" s="21">
        <s:f>D75-H75</s:f>
        <s:v>376497.1106479455</s:v>
      </s:c>
      <s:c r="K75" s="21">
        <s:f>IF(A75&lt;=Assumptions!$B$32,K74+G75,0)</s:f>
        <s:v>0.0</s:v>
      </s:c>
    </s:row>
    <s:row r="76">
      <s:c r="A76" s="64" t="n">
        <s:v>72</s:v>
      </s:c>
      <s:c r="B76" s="65">
        <s:f>EDATE(DATE(2026,6,17),A76)</s:f>
        <s:v>48382.0</s:v>
      </s:c>
      <s:c r="C76" s="64">
        <s:f>INT((A76-1)/12)+1</s:f>
        <s:v>6.0</s:v>
      </s:c>
      <s:c r="D76" s="21">
        <s:f>J75</s:f>
        <s:v>376497.1106479455</s:v>
      </s:c>
      <s:c r="E76" s="21">
        <s:f>IF(A76&gt;Assumptions!$B$31,0,D76*IF(A76&lt;Assumptions!$B$37,Assumptions!$B$30,Assumptions!$B$36)/12)</s:f>
        <s:v>4204.2177355687245</s:v>
      </s:c>
      <s:c r="F76" s="21">
        <s:f>IF(A76&gt;Assumptions!$B$35,0,MIN(E76,D76*Assumptions!$B$34/12))</s:f>
        <s:v>0.0</s:v>
      </s:c>
      <s:c r="G76" s="21">
        <s:f>E76-F76</s:f>
        <s:v>4204.2177355687245</s:v>
      </s:c>
      <s:c r="H76" s="21">
        <s:f>IF(A76&gt;Assumptions!$B$31,0,IF(A76&lt;=Assumptions!$B$32+1,0,MIN(D76,PMT(IF(A76&lt;Assumptions!$B$37,Assumptions!$B$30,Assumptions!$B$36)/12,Assumptions!$B$31-A76+1,-D76)-E76)))</s:f>
        <s:v>5814.030481006347</s:v>
      </s:c>
      <s:c r="I76" s="21">
        <s:f>IF(A76&gt;Assumptions!$B$31,0,IF(A76&lt;=Assumptions!$B$32,0,IF(A76=Assumptions!$B$32+1,K75+G76,H76+G76)))</s:f>
        <s:v>10018.248216575072</s:v>
      </s:c>
      <s:c r="J76" s="21">
        <s:f>D76-H76</s:f>
        <s:v>370683.0801669391</s:v>
      </s:c>
      <s:c r="K76" s="21">
        <s:f>IF(A76&lt;=Assumptions!$B$32,K75+G76,0)</s:f>
        <s:v>0.0</s:v>
      </s:c>
    </s:row>
    <s:row r="77">
      <s:c r="A77" s="64" t="n">
        <s:v>73</s:v>
      </s:c>
      <s:c r="B77" s="65">
        <s:f>EDATE(DATE(2026,6,17),A77)</s:f>
        <s:v>48412.0</s:v>
      </s:c>
      <s:c r="C77" s="64">
        <s:f>INT((A77-1)/12)+1</s:f>
        <s:v>7.0</s:v>
      </s:c>
      <s:c r="D77" s="21">
        <s:f>J76</s:f>
        <s:v>370683.0801669391</s:v>
      </s:c>
      <s:c r="E77" s="21">
        <s:f>IF(A77&gt;Assumptions!$B$31,0,D77*IF(A77&lt;Assumptions!$B$37,Assumptions!$B$30,Assumptions!$B$36)/12)</s:f>
        <s:v>4139.294395197488</s:v>
      </s:c>
      <s:c r="F77" s="21">
        <s:f>IF(A77&gt;Assumptions!$B$35,0,MIN(E77,D77*Assumptions!$B$34/12))</s:f>
        <s:v>0.0</s:v>
      </s:c>
      <s:c r="G77" s="21">
        <s:f>E77-F77</s:f>
        <s:v>4139.294395197488</s:v>
      </s:c>
      <s:c r="H77" s="21">
        <s:f>IF(A77&gt;Assumptions!$B$31,0,IF(A77&lt;=Assumptions!$B$32+1,0,MIN(D77,PMT(IF(A77&lt;Assumptions!$B$37,Assumptions!$B$30,Assumptions!$B$36)/12,Assumptions!$B$31-A77+1,-D77)-E77)))</s:f>
        <s:v>5878.953821377584</s:v>
      </s:c>
      <s:c r="I77" s="21">
        <s:f>IF(A77&gt;Assumptions!$B$31,0,IF(A77&lt;=Assumptions!$B$32,0,IF(A77=Assumptions!$B$32+1,K76+G77,H77+G77)))</s:f>
        <s:v>10018.248216575072</s:v>
      </s:c>
      <s:c r="J77" s="21">
        <s:f>D77-H77</s:f>
        <s:v>364804.1263455615</s:v>
      </s:c>
      <s:c r="K77" s="21">
        <s:f>IF(A77&lt;=Assumptions!$B$32,K76+G77,0)</s:f>
        <s:v>0.0</s:v>
      </s:c>
    </s:row>
    <s:row r="78">
      <s:c r="A78" s="64" t="n">
        <s:v>74</s:v>
      </s:c>
      <s:c r="B78" s="65">
        <s:f>EDATE(DATE(2026,6,17),A78)</s:f>
        <s:v>48443.0</s:v>
      </s:c>
      <s:c r="C78" s="64">
        <s:f>INT((A78-1)/12)+1</s:f>
        <s:v>7.0</s:v>
      </s:c>
      <s:c r="D78" s="21">
        <s:f>J77</s:f>
        <s:v>364804.1263455615</s:v>
      </s:c>
      <s:c r="E78" s="21">
        <s:f>IF(A78&gt;Assumptions!$B$31,0,D78*IF(A78&lt;Assumptions!$B$37,Assumptions!$B$30,Assumptions!$B$36)/12)</s:f>
        <s:v>4073.6460775254377</s:v>
      </s:c>
      <s:c r="F78" s="21">
        <s:f>IF(A78&gt;Assumptions!$B$35,0,MIN(E78,D78*Assumptions!$B$34/12))</s:f>
        <s:v>0.0</s:v>
      </s:c>
      <s:c r="G78" s="21">
        <s:f>E78-F78</s:f>
        <s:v>4073.6460775254377</s:v>
      </s:c>
      <s:c r="H78" s="21">
        <s:f>IF(A78&gt;Assumptions!$B$31,0,IF(A78&lt;=Assumptions!$B$32+1,0,MIN(D78,PMT(IF(A78&lt;Assumptions!$B$37,Assumptions!$B$30,Assumptions!$B$36)/12,Assumptions!$B$31-A78+1,-D78)-E78)))</s:f>
        <s:v>5944.602139049637</s:v>
      </s:c>
      <s:c r="I78" s="21">
        <s:f>IF(A78&gt;Assumptions!$B$31,0,IF(A78&lt;=Assumptions!$B$32,0,IF(A78=Assumptions!$B$32+1,K77+G78,H78+G78)))</s:f>
        <s:v>10018.248216575075</s:v>
      </s:c>
      <s:c r="J78" s="21">
        <s:f>D78-H78</s:f>
        <s:v>358859.5242065119</s:v>
      </s:c>
      <s:c r="K78" s="21">
        <s:f>IF(A78&lt;=Assumptions!$B$32,K77+G78,0)</s:f>
        <s:v>0.0</s:v>
      </s:c>
    </s:row>
    <s:row r="79">
      <s:c r="A79" s="64" t="n">
        <s:v>75</s:v>
      </s:c>
      <s:c r="B79" s="65">
        <s:f>EDATE(DATE(2026,6,17),A79)</s:f>
        <s:v>48474.0</s:v>
      </s:c>
      <s:c r="C79" s="64">
        <s:f>INT((A79-1)/12)+1</s:f>
        <s:v>7.0</s:v>
      </s:c>
      <s:c r="D79" s="21">
        <s:f>J78</s:f>
        <s:v>358859.5242065119</s:v>
      </s:c>
      <s:c r="E79" s="21">
        <s:f>IF(A79&gt;Assumptions!$B$31,0,D79*IF(A79&lt;Assumptions!$B$37,Assumptions!$B$30,Assumptions!$B$36)/12)</s:f>
        <s:v>4007.2646869727164</s:v>
      </s:c>
      <s:c r="F79" s="21">
        <s:f>IF(A79&gt;Assumptions!$B$35,0,MIN(E79,D79*Assumptions!$B$34/12))</s:f>
        <s:v>0.0</s:v>
      </s:c>
      <s:c r="G79" s="21">
        <s:f>E79-F79</s:f>
        <s:v>4007.2646869727164</s:v>
      </s:c>
      <s:c r="H79" s="21">
        <s:f>IF(A79&gt;Assumptions!$B$31,0,IF(A79&lt;=Assumptions!$B$32+1,0,MIN(D79,PMT(IF(A79&lt;Assumptions!$B$37,Assumptions!$B$30,Assumptions!$B$36)/12,Assumptions!$B$31-A79+1,-D79)-E79)))</s:f>
        <s:v>6010.983529602361</s:v>
      </s:c>
      <s:c r="I79" s="21">
        <s:f>IF(A79&gt;Assumptions!$B$31,0,IF(A79&lt;=Assumptions!$B$32,0,IF(A79=Assumptions!$B$32+1,K78+G79,H79+G79)))</s:f>
        <s:v>10018.248216575077</s:v>
      </s:c>
      <s:c r="J79" s="21">
        <s:f>D79-H79</s:f>
        <s:v>352848.54067690956</s:v>
      </s:c>
      <s:c r="K79" s="21">
        <s:f>IF(A79&lt;=Assumptions!$B$32,K78+G79,0)</s:f>
        <s:v>0.0</s:v>
      </s:c>
    </s:row>
    <s:row r="80">
      <s:c r="A80" s="64" t="n">
        <s:v>76</s:v>
      </s:c>
      <s:c r="B80" s="65">
        <s:f>EDATE(DATE(2026,6,17),A80)</s:f>
        <s:v>48504.0</s:v>
      </s:c>
      <s:c r="C80" s="64">
        <s:f>INT((A80-1)/12)+1</s:f>
        <s:v>7.0</s:v>
      </s:c>
      <s:c r="D80" s="21">
        <s:f>J79</s:f>
        <s:v>352848.54067690956</s:v>
      </s:c>
      <s:c r="E80" s="21">
        <s:f>IF(A80&gt;Assumptions!$B$31,0,D80*IF(A80&lt;Assumptions!$B$37,Assumptions!$B$30,Assumptions!$B$36)/12)</s:f>
        <s:v>3940.1420375588236</s:v>
      </s:c>
      <s:c r="F80" s="21">
        <s:f>IF(A80&gt;Assumptions!$B$35,0,MIN(E80,D80*Assumptions!$B$34/12))</s:f>
        <s:v>0.0</s:v>
      </s:c>
      <s:c r="G80" s="21">
        <s:f>E80-F80</s:f>
        <s:v>3940.1420375588236</s:v>
      </s:c>
      <s:c r="H80" s="21">
        <s:f>IF(A80&gt;Assumptions!$B$31,0,IF(A80&lt;=Assumptions!$B$32+1,0,MIN(D80,PMT(IF(A80&lt;Assumptions!$B$37,Assumptions!$B$30,Assumptions!$B$36)/12,Assumptions!$B$31-A80+1,-D80)-E80)))</s:f>
        <s:v>6078.106179016255</s:v>
      </s:c>
      <s:c r="I80" s="21">
        <s:f>IF(A80&gt;Assumptions!$B$31,0,IF(A80&lt;=Assumptions!$B$32,0,IF(A80=Assumptions!$B$32+1,K79+G80,H80+G80)))</s:f>
        <s:v>10018.248216575079</s:v>
      </s:c>
      <s:c r="J80" s="21">
        <s:f>D80-H80</s:f>
        <s:v>346770.4344978933</s:v>
      </s:c>
      <s:c r="K80" s="21">
        <s:f>IF(A80&lt;=Assumptions!$B$32,K79+G80,0)</s:f>
        <s:v>0.0</s:v>
      </s:c>
    </s:row>
    <s:row r="81">
      <s:c r="A81" s="64" t="n">
        <s:v>77</s:v>
      </s:c>
      <s:c r="B81" s="65">
        <s:f>EDATE(DATE(2026,6,17),A81)</s:f>
        <s:v>48535.0</s:v>
      </s:c>
      <s:c r="C81" s="64">
        <s:f>INT((A81-1)/12)+1</s:f>
        <s:v>7.0</s:v>
      </s:c>
      <s:c r="D81" s="21">
        <s:f>J80</s:f>
        <s:v>346770.4344978933</s:v>
      </s:c>
      <s:c r="E81" s="21">
        <s:f>IF(A81&gt;Assumptions!$B$31,0,D81*IF(A81&lt;Assumptions!$B$37,Assumptions!$B$30,Assumptions!$B$36)/12)</s:f>
        <s:v>3872.2698518931425</s:v>
      </s:c>
      <s:c r="F81" s="21">
        <s:f>IF(A81&gt;Assumptions!$B$35,0,MIN(E81,D81*Assumptions!$B$34/12))</s:f>
        <s:v>0.0</s:v>
      </s:c>
      <s:c r="G81" s="21">
        <s:f>E81-F81</s:f>
        <s:v>3872.2698518931425</s:v>
      </s:c>
      <s:c r="H81" s="21">
        <s:f>IF(A81&gt;Assumptions!$B$31,0,IF(A81&lt;=Assumptions!$B$32+1,0,MIN(D81,PMT(IF(A81&lt;Assumptions!$B$37,Assumptions!$B$30,Assumptions!$B$36)/12,Assumptions!$B$31-A81+1,-D81)-E81)))</s:f>
        <s:v>6145.978364681938</s:v>
      </s:c>
      <s:c r="I81" s="21">
        <s:f>IF(A81&gt;Assumptions!$B$31,0,IF(A81&lt;=Assumptions!$B$32,0,IF(A81=Assumptions!$B$32+1,K80+G81,H81+G81)))</s:f>
        <s:v>10018.24821657508</s:v>
      </s:c>
      <s:c r="J81" s="21">
        <s:f>D81-H81</s:f>
        <s:v>340624.4561332114</s:v>
      </s:c>
      <s:c r="K81" s="21">
        <s:f>IF(A81&lt;=Assumptions!$B$32,K80+G81,0)</s:f>
        <s:v>0.0</s:v>
      </s:c>
    </s:row>
    <s:row r="82">
      <s:c r="A82" s="64" t="n">
        <s:v>78</s:v>
      </s:c>
      <s:c r="B82" s="65">
        <s:f>EDATE(DATE(2026,6,17),A82)</s:f>
        <s:v>48565.0</s:v>
      </s:c>
      <s:c r="C82" s="64">
        <s:f>INT((A82-1)/12)+1</s:f>
        <s:v>7.0</s:v>
      </s:c>
      <s:c r="D82" s="21">
        <s:f>J81</s:f>
        <s:v>340624.4561332114</s:v>
      </s:c>
      <s:c r="E82" s="21">
        <s:f>IF(A82&gt;Assumptions!$B$31,0,D82*IF(A82&lt;Assumptions!$B$37,Assumptions!$B$30,Assumptions!$B$36)/12)</s:f>
        <s:v>3803.639760154194</s:v>
      </s:c>
      <s:c r="F82" s="21">
        <s:f>IF(A82&gt;Assumptions!$B$35,0,MIN(E82,D82*Assumptions!$B$34/12))</s:f>
        <s:v>0.0</s:v>
      </s:c>
      <s:c r="G82" s="21">
        <s:f>E82-F82</s:f>
        <s:v>3803.639760154194</s:v>
      </s:c>
      <s:c r="H82" s="21">
        <s:f>IF(A82&gt;Assumptions!$B$31,0,IF(A82&lt;=Assumptions!$B$32+1,0,MIN(D82,PMT(IF(A82&lt;Assumptions!$B$37,Assumptions!$B$30,Assumptions!$B$36)/12,Assumptions!$B$31-A82+1,-D82)-E82)))</s:f>
        <s:v>6214.608456420889</s:v>
      </s:c>
      <s:c r="I82" s="21">
        <s:f>IF(A82&gt;Assumptions!$B$31,0,IF(A82&lt;=Assumptions!$B$32,0,IF(A82=Assumptions!$B$32+1,K81+G82,H82+G82)))</s:f>
        <s:v>10018.248216575083</s:v>
      </s:c>
      <s:c r="J82" s="21">
        <s:f>D82-H82</s:f>
        <s:v>334409.8476767905</s:v>
      </s:c>
      <s:c r="K82" s="21">
        <s:f>IF(A82&lt;=Assumptions!$B$32,K81+G82,0)</s:f>
        <s:v>0.0</s:v>
      </s:c>
    </s:row>
    <s:row r="83">
      <s:c r="A83" s="64" t="n">
        <s:v>79</s:v>
      </s:c>
      <s:c r="B83" s="65">
        <s:f>EDATE(DATE(2026,6,17),A83)</s:f>
        <s:v>48596.0</s:v>
      </s:c>
      <s:c r="C83" s="64">
        <s:f>INT((A83-1)/12)+1</s:f>
        <s:v>7.0</s:v>
      </s:c>
      <s:c r="D83" s="21">
        <s:f>J82</s:f>
        <s:v>334409.8476767905</s:v>
      </s:c>
      <s:c r="E83" s="21">
        <s:f>IF(A83&gt;Assumptions!$B$31,0,D83*IF(A83&lt;Assumptions!$B$37,Assumptions!$B$30,Assumptions!$B$36)/12)</s:f>
        <s:v>3734.2432990574944</s:v>
      </s:c>
      <s:c r="F83" s="21">
        <s:f>IF(A83&gt;Assumptions!$B$35,0,MIN(E83,D83*Assumptions!$B$34/12))</s:f>
        <s:v>0.0</s:v>
      </s:c>
      <s:c r="G83" s="21">
        <s:f>E83-F83</s:f>
        <s:v>3734.2432990574944</s:v>
      </s:c>
      <s:c r="H83" s="21">
        <s:f>IF(A83&gt;Assumptions!$B$31,0,IF(A83&lt;=Assumptions!$B$32+1,0,MIN(D83,PMT(IF(A83&lt;Assumptions!$B$37,Assumptions!$B$30,Assumptions!$B$36)/12,Assumptions!$B$31-A83+1,-D83)-E83)))</s:f>
        <s:v>6284.00491751759</s:v>
      </s:c>
      <s:c r="I83" s="21">
        <s:f>IF(A83&gt;Assumptions!$B$31,0,IF(A83&lt;=Assumptions!$B$32,0,IF(A83=Assumptions!$B$32+1,K82+G83,H83+G83)))</s:f>
        <s:v>10018.248216575084</s:v>
      </s:c>
      <s:c r="J83" s="21">
        <s:f>D83-H83</s:f>
        <s:v>328125.8427592729</s:v>
      </s:c>
      <s:c r="K83" s="21">
        <s:f>IF(A83&lt;=Assumptions!$B$32,K82+G83,0)</s:f>
        <s:v>0.0</s:v>
      </s:c>
    </s:row>
    <s:row r="84">
      <s:c r="A84" s="64" t="n">
        <s:v>80</s:v>
      </s:c>
      <s:c r="B84" s="65">
        <s:f>EDATE(DATE(2026,6,17),A84)</s:f>
        <s:v>48627.0</s:v>
      </s:c>
      <s:c r="C84" s="64">
        <s:f>INT((A84-1)/12)+1</s:f>
        <s:v>7.0</s:v>
      </s:c>
      <s:c r="D84" s="21">
        <s:f>J83</s:f>
        <s:v>328125.8427592729</s:v>
      </s:c>
      <s:c r="E84" s="21">
        <s:f>IF(A84&gt;Assumptions!$B$31,0,D84*IF(A84&lt;Assumptions!$B$37,Assumptions!$B$30,Assumptions!$B$36)/12)</s:f>
        <s:v>3664.071910811881</s:v>
      </s:c>
      <s:c r="F84" s="21">
        <s:f>IF(A84&gt;Assumptions!$B$35,0,MIN(E84,D84*Assumptions!$B$34/12))</s:f>
        <s:v>0.0</s:v>
      </s:c>
      <s:c r="G84" s="21">
        <s:f>E84-F84</s:f>
        <s:v>3664.071910811881</s:v>
      </s:c>
      <s:c r="H84" s="21">
        <s:f>IF(A84&gt;Assumptions!$B$31,0,IF(A84&lt;=Assumptions!$B$32+1,0,MIN(D84,PMT(IF(A84&lt;Assumptions!$B$37,Assumptions!$B$30,Assumptions!$B$36)/12,Assumptions!$B$31-A84+1,-D84)-E84)))</s:f>
        <s:v>6354.176305763205</s:v>
      </s:c>
      <s:c r="I84" s="21">
        <s:f>IF(A84&gt;Assumptions!$B$31,0,IF(A84&lt;=Assumptions!$B$32,0,IF(A84=Assumptions!$B$32+1,K83+G84,H84+G84)))</s:f>
        <s:v>10018.248216575086</s:v>
      </s:c>
      <s:c r="J84" s="21">
        <s:f>D84-H84</s:f>
        <s:v>321771.6664535097</s:v>
      </s:c>
      <s:c r="K84" s="21">
        <s:f>IF(A84&lt;=Assumptions!$B$32,K83+G84,0)</s:f>
        <s:v>0.0</s:v>
      </s:c>
    </s:row>
    <s:row r="85">
      <s:c r="A85" s="64" t="n">
        <s:v>81</s:v>
      </s:c>
      <s:c r="B85" s="65">
        <s:f>EDATE(DATE(2026,6,17),A85)</s:f>
        <s:v>48655.0</s:v>
      </s:c>
      <s:c r="C85" s="64">
        <s:f>INT((A85-1)/12)+1</s:f>
        <s:v>7.0</s:v>
      </s:c>
      <s:c r="D85" s="21">
        <s:f>J84</s:f>
        <s:v>321771.6664535097</s:v>
      </s:c>
      <s:c r="E85" s="21">
        <s:f>IF(A85&gt;Assumptions!$B$31,0,D85*IF(A85&lt;Assumptions!$B$37,Assumptions!$B$30,Assumptions!$B$36)/12)</s:f>
        <s:v>3593.1169420641922</s:v>
      </s:c>
      <s:c r="F85" s="21">
        <s:f>IF(A85&gt;Assumptions!$B$35,0,MIN(E85,D85*Assumptions!$B$34/12))</s:f>
        <s:v>0.0</s:v>
      </s:c>
      <s:c r="G85" s="21">
        <s:f>E85-F85</s:f>
        <s:v>3593.1169420641922</s:v>
      </s:c>
      <s:c r="H85" s="21">
        <s:f>IF(A85&gt;Assumptions!$B$31,0,IF(A85&lt;=Assumptions!$B$32+1,0,MIN(D85,PMT(IF(A85&lt;Assumptions!$B$37,Assumptions!$B$30,Assumptions!$B$36)/12,Assumptions!$B$31-A85+1,-D85)-E85)))</s:f>
        <s:v>6425.131274510895</s:v>
      </s:c>
      <s:c r="I85" s="21">
        <s:f>IF(A85&gt;Assumptions!$B$31,0,IF(A85&lt;=Assumptions!$B$32,0,IF(A85=Assumptions!$B$32+1,K84+G85,H85+G85)))</s:f>
        <s:v>10018.248216575088</s:v>
      </s:c>
      <s:c r="J85" s="21">
        <s:f>D85-H85</s:f>
        <s:v>315346.53517899883</s:v>
      </s:c>
      <s:c r="K85" s="21">
        <s:f>IF(A85&lt;=Assumptions!$B$32,K84+G85,0)</s:f>
        <s:v>0.0</s:v>
      </s:c>
    </s:row>
    <s:row r="86">
      <s:c r="A86" s="64" t="n">
        <s:v>82</s:v>
      </s:c>
      <s:c r="B86" s="65">
        <s:f>EDATE(DATE(2026,6,17),A86)</s:f>
        <s:v>48686.0</s:v>
      </s:c>
      <s:c r="C86" s="64">
        <s:f>INT((A86-1)/12)+1</s:f>
        <s:v>7.0</s:v>
      </s:c>
      <s:c r="D86" s="21">
        <s:f>J85</s:f>
        <s:v>315346.53517899883</s:v>
      </s:c>
      <s:c r="E86" s="21">
        <s:f>IF(A86&gt;Assumptions!$B$31,0,D86*IF(A86&lt;Assumptions!$B$37,Assumptions!$B$30,Assumptions!$B$36)/12)</s:f>
        <s:v>3521.369642832154</s:v>
      </s:c>
      <s:c r="F86" s="21">
        <s:f>IF(A86&gt;Assumptions!$B$35,0,MIN(E86,D86*Assumptions!$B$34/12))</s:f>
        <s:v>0.0</s:v>
      </s:c>
      <s:c r="G86" s="21">
        <s:f>E86-F86</s:f>
        <s:v>3521.369642832154</s:v>
      </s:c>
      <s:c r="H86" s="21">
        <s:f>IF(A86&gt;Assumptions!$B$31,0,IF(A86&lt;=Assumptions!$B$32+1,0,MIN(D86,PMT(IF(A86&lt;Assumptions!$B$37,Assumptions!$B$30,Assumptions!$B$36)/12,Assumptions!$B$31-A86+1,-D86)-E86)))</s:f>
        <s:v>6496.878573742937</s:v>
      </s:c>
      <s:c r="I86" s="21">
        <s:f>IF(A86&gt;Assumptions!$B$31,0,IF(A86&lt;=Assumptions!$B$32,0,IF(A86=Assumptions!$B$32+1,K85+G86,H86+G86)))</s:f>
        <s:v>10018.248216575092</s:v>
      </s:c>
      <s:c r="J86" s="21">
        <s:f>D86-H86</s:f>
        <s:v>308849.6566052559</s:v>
      </s:c>
      <s:c r="K86" s="21">
        <s:f>IF(A86&lt;=Assumptions!$B$32,K85+G86,0)</s:f>
        <s:v>0.0</s:v>
      </s:c>
    </s:row>
    <s:row r="87">
      <s:c r="A87" s="64" t="n">
        <s:v>83</s:v>
      </s:c>
      <s:c r="B87" s="65">
        <s:f>EDATE(DATE(2026,6,17),A87)</s:f>
        <s:v>48716.0</s:v>
      </s:c>
      <s:c r="C87" s="64">
        <s:f>INT((A87-1)/12)+1</s:f>
        <s:v>7.0</s:v>
      </s:c>
      <s:c r="D87" s="21">
        <s:f>J86</s:f>
        <s:v>308849.6566052559</s:v>
      </s:c>
      <s:c r="E87" s="21">
        <s:f>IF(A87&gt;Assumptions!$B$31,0,D87*IF(A87&lt;Assumptions!$B$37,Assumptions!$B$30,Assumptions!$B$36)/12)</s:f>
        <s:v>3448.821165425358</s:v>
      </s:c>
      <s:c r="F87" s="21">
        <s:f>IF(A87&gt;Assumptions!$B$35,0,MIN(E87,D87*Assumptions!$B$34/12))</s:f>
        <s:v>0.0</s:v>
      </s:c>
      <s:c r="G87" s="21">
        <s:f>E87-F87</s:f>
        <s:v>3448.821165425358</s:v>
      </s:c>
      <s:c r="H87" s="21">
        <s:f>IF(A87&gt;Assumptions!$B$31,0,IF(A87&lt;=Assumptions!$B$32+1,0,MIN(D87,PMT(IF(A87&lt;Assumptions!$B$37,Assumptions!$B$30,Assumptions!$B$36)/12,Assumptions!$B$31-A87+1,-D87)-E87)))</s:f>
        <s:v>6569.427051149736</s:v>
      </s:c>
      <s:c r="I87" s="21">
        <s:f>IF(A87&gt;Assumptions!$B$31,0,IF(A87&lt;=Assumptions!$B$32,0,IF(A87=Assumptions!$B$32+1,K86+G87,H87+G87)))</s:f>
        <s:v>10018.248216575093</s:v>
      </s:c>
      <s:c r="J87" s="21">
        <s:f>D87-H87</s:f>
        <s:v>302280.2295541062</s:v>
      </s:c>
      <s:c r="K87" s="21">
        <s:f>IF(A87&lt;=Assumptions!$B$32,K86+G87,0)</s:f>
        <s:v>0.0</s:v>
      </s:c>
    </s:row>
    <s:row r="88">
      <s:c r="A88" s="64" t="n">
        <s:v>84</s:v>
      </s:c>
      <s:c r="B88" s="65">
        <s:f>EDATE(DATE(2026,6,17),A88)</s:f>
        <s:v>48747.0</s:v>
      </s:c>
      <s:c r="C88" s="64">
        <s:f>INT((A88-1)/12)+1</s:f>
        <s:v>7.0</s:v>
      </s:c>
      <s:c r="D88" s="21">
        <s:f>J87</s:f>
        <s:v>302280.2295541062</s:v>
      </s:c>
      <s:c r="E88" s="21">
        <s:f>IF(A88&gt;Assumptions!$B$31,0,D88*IF(A88&lt;Assumptions!$B$37,Assumptions!$B$30,Assumptions!$B$36)/12)</s:f>
        <s:v>3375.462563354186</s:v>
      </s:c>
      <s:c r="F88" s="21">
        <s:f>IF(A88&gt;Assumptions!$B$35,0,MIN(E88,D88*Assumptions!$B$34/12))</s:f>
        <s:v>0.0</s:v>
      </s:c>
      <s:c r="G88" s="21">
        <s:f>E88-F88</s:f>
        <s:v>3375.462563354186</s:v>
      </s:c>
      <s:c r="H88" s="21">
        <s:f>IF(A88&gt;Assumptions!$B$31,0,IF(A88&lt;=Assumptions!$B$32+1,0,MIN(D88,PMT(IF(A88&lt;Assumptions!$B$37,Assumptions!$B$30,Assumptions!$B$36)/12,Assumptions!$B$31-A88+1,-D88)-E88)))</s:f>
        <s:v>6642.78565322091</s:v>
      </s:c>
      <s:c r="I88" s="21">
        <s:f>IF(A88&gt;Assumptions!$B$31,0,IF(A88&lt;=Assumptions!$B$32,0,IF(A88=Assumptions!$B$32+1,K87+G88,H88+G88)))</s:f>
        <s:v>10018.248216575095</s:v>
      </s:c>
      <s:c r="J88" s="21">
        <s:f>D88-H88</s:f>
        <s:v>295637.4439008853</s:v>
      </s:c>
      <s:c r="K88" s="21">
        <s:f>IF(A88&lt;=Assumptions!$B$32,K87+G88,0)</s:f>
        <s:v>0.0</s:v>
      </s:c>
    </s:row>
    <s:row r="89">
      <s:c r="A89" s="64" t="n">
        <s:v>85</s:v>
      </s:c>
      <s:c r="B89" s="65">
        <s:f>EDATE(DATE(2026,6,17),A89)</s:f>
        <s:v>48777.0</s:v>
      </s:c>
      <s:c r="C89" s="64">
        <s:f>INT((A89-1)/12)+1</s:f>
        <s:v>8.0</s:v>
      </s:c>
      <s:c r="D89" s="21">
        <s:f>J88</s:f>
        <s:v>295637.4439008853</s:v>
      </s:c>
      <s:c r="E89" s="21">
        <s:f>IF(A89&gt;Assumptions!$B$31,0,D89*IF(A89&lt;Assumptions!$B$37,Assumptions!$B$30,Assumptions!$B$36)/12)</s:f>
        <s:v>3301.2847902265526</s:v>
      </s:c>
      <s:c r="F89" s="21">
        <s:f>IF(A89&gt;Assumptions!$B$35,0,MIN(E89,D89*Assumptions!$B$34/12))</s:f>
        <s:v>0.0</s:v>
      </s:c>
      <s:c r="G89" s="21">
        <s:f>E89-F89</s:f>
        <s:v>3301.2847902265526</s:v>
      </s:c>
      <s:c r="H89" s="21">
        <s:f>IF(A89&gt;Assumptions!$B$31,0,IF(A89&lt;=Assumptions!$B$32+1,0,MIN(D89,PMT(IF(A89&lt;Assumptions!$B$37,Assumptions!$B$30,Assumptions!$B$36)/12,Assumptions!$B$31-A89+1,-D89)-E89)))</s:f>
        <s:v>6716.963426348546</s:v>
      </s:c>
      <s:c r="I89" s="21">
        <s:f>IF(A89&gt;Assumptions!$B$31,0,IF(A89&lt;=Assumptions!$B$32,0,IF(A89=Assumptions!$B$32+1,K88+G89,H89+G89)))</s:f>
        <s:v>10018.248216575099</s:v>
      </s:c>
      <s:c r="J89" s="21">
        <s:f>D89-H89</s:f>
        <s:v>288920.4804745368</s:v>
      </s:c>
      <s:c r="K89" s="21">
        <s:f>IF(A89&lt;=Assumptions!$B$32,K88+G89,0)</s:f>
        <s:v>0.0</s:v>
      </s:c>
    </s:row>
    <s:row r="90">
      <s:c r="A90" s="64" t="n">
        <s:v>86</s:v>
      </s:c>
      <s:c r="B90" s="65">
        <s:f>EDATE(DATE(2026,6,17),A90)</s:f>
        <s:v>48808.0</s:v>
      </s:c>
      <s:c r="C90" s="64">
        <s:f>INT((A90-1)/12)+1</s:f>
        <s:v>8.0</s:v>
      </s:c>
      <s:c r="D90" s="21">
        <s:f>J89</s:f>
        <s:v>288920.4804745368</s:v>
      </s:c>
      <s:c r="E90" s="21">
        <s:f>IF(A90&gt;Assumptions!$B$31,0,D90*IF(A90&lt;Assumptions!$B$37,Assumptions!$B$30,Assumptions!$B$36)/12)</s:f>
        <s:v>3226.2786986323276</s:v>
      </s:c>
      <s:c r="F90" s="21">
        <s:f>IF(A90&gt;Assumptions!$B$35,0,MIN(E90,D90*Assumptions!$B$34/12))</s:f>
        <s:v>0.0</s:v>
      </s:c>
      <s:c r="G90" s="21">
        <s:f>E90-F90</s:f>
        <s:v>3226.2786986323276</s:v>
      </s:c>
      <s:c r="H90" s="21">
        <s:f>IF(A90&gt;Assumptions!$B$31,0,IF(A90&lt;=Assumptions!$B$32+1,0,MIN(D90,PMT(IF(A90&lt;Assumptions!$B$37,Assumptions!$B$30,Assumptions!$B$36)/12,Assumptions!$B$31-A90+1,-D90)-E90)))</s:f>
        <s:v>6791.9695179427745</s:v>
      </s:c>
      <s:c r="I90" s="21">
        <s:f>IF(A90&gt;Assumptions!$B$31,0,IF(A90&lt;=Assumptions!$B$32,0,IF(A90=Assumptions!$B$32+1,K89+G90,H90+G90)))</s:f>
        <s:v>10018.248216575103</s:v>
      </s:c>
      <s:c r="J90" s="21">
        <s:f>D90-H90</s:f>
        <s:v>282128.510956594</s:v>
      </s:c>
      <s:c r="K90" s="21">
        <s:f>IF(A90&lt;=Assumptions!$B$32,K89+G90,0)</s:f>
        <s:v>0.0</s:v>
      </s:c>
    </s:row>
    <s:row r="91">
      <s:c r="A91" s="64" t="n">
        <s:v>87</s:v>
      </s:c>
      <s:c r="B91" s="65">
        <s:f>EDATE(DATE(2026,6,17),A91)</s:f>
        <s:v>48839.0</s:v>
      </s:c>
      <s:c r="C91" s="64">
        <s:f>INT((A91-1)/12)+1</s:f>
        <s:v>8.0</s:v>
      </s:c>
      <s:c r="D91" s="21">
        <s:f>J90</s:f>
        <s:v>282128.510956594</s:v>
      </s:c>
      <s:c r="E91" s="21">
        <s:f>IF(A91&gt;Assumptions!$B$31,0,D91*IF(A91&lt;Assumptions!$B$37,Assumptions!$B$30,Assumptions!$B$36)/12)</s:f>
        <s:v>3150.4350390153</s:v>
      </s:c>
      <s:c r="F91" s="21">
        <s:f>IF(A91&gt;Assumptions!$B$35,0,MIN(E91,D91*Assumptions!$B$34/12))</s:f>
        <s:v>0.0</s:v>
      </s:c>
      <s:c r="G91" s="21">
        <s:f>E91-F91</s:f>
        <s:v>3150.4350390153</s:v>
      </s:c>
      <s:c r="H91" s="21">
        <s:f>IF(A91&gt;Assumptions!$B$31,0,IF(A91&lt;=Assumptions!$B$32+1,0,MIN(D91,PMT(IF(A91&lt;Assumptions!$B$37,Assumptions!$B$30,Assumptions!$B$36)/12,Assumptions!$B$31-A91+1,-D91)-E91)))</s:f>
        <s:v>6867.813177559805</s:v>
      </s:c>
      <s:c r="I91" s="21">
        <s:f>IF(A91&gt;Assumptions!$B$31,0,IF(A91&lt;=Assumptions!$B$32,0,IF(A91=Assumptions!$B$32+1,K90+G91,H91+G91)))</s:f>
        <s:v>10018.248216575104</s:v>
      </s:c>
      <s:c r="J91" s="21">
        <s:f>D91-H91</s:f>
        <s:v>275260.6977790342</s:v>
      </s:c>
      <s:c r="K91" s="21">
        <s:f>IF(A91&lt;=Assumptions!$B$32,K90+G91,0)</s:f>
        <s:v>0.0</s:v>
      </s:c>
    </s:row>
    <s:row r="92">
      <s:c r="A92" s="64" t="n">
        <s:v>88</s:v>
      </s:c>
      <s:c r="B92" s="65">
        <s:f>EDATE(DATE(2026,6,17),A92)</s:f>
        <s:v>48869.0</s:v>
      </s:c>
      <s:c r="C92" s="64">
        <s:f>INT((A92-1)/12)+1</s:f>
        <s:v>8.0</s:v>
      </s:c>
      <s:c r="D92" s="21">
        <s:f>J91</s:f>
        <s:v>275260.6977790342</s:v>
      </s:c>
      <s:c r="E92" s="21">
        <s:f>IF(A92&gt;Assumptions!$B$31,0,D92*IF(A92&lt;Assumptions!$B$37,Assumptions!$B$30,Assumptions!$B$36)/12)</s:f>
        <s:v>3073.744458532549</s:v>
      </s:c>
      <s:c r="F92" s="21">
        <s:f>IF(A92&gt;Assumptions!$B$35,0,MIN(E92,D92*Assumptions!$B$34/12))</s:f>
        <s:v>0.0</s:v>
      </s:c>
      <s:c r="G92" s="21">
        <s:f>E92-F92</s:f>
        <s:v>3073.744458532549</s:v>
      </s:c>
      <s:c r="H92" s="21">
        <s:f>IF(A92&gt;Assumptions!$B$31,0,IF(A92&lt;=Assumptions!$B$32+1,0,MIN(D92,PMT(IF(A92&lt;Assumptions!$B$37,Assumptions!$B$30,Assumptions!$B$36)/12,Assumptions!$B$31-A92+1,-D92)-E92)))</s:f>
        <s:v>6944.503758042558</s:v>
      </s:c>
      <s:c r="I92" s="21">
        <s:f>IF(A92&gt;Assumptions!$B$31,0,IF(A92&lt;=Assumptions!$B$32,0,IF(A92=Assumptions!$B$32+1,K91+G92,H92+G92)))</s:f>
        <s:v>10018.248216575106</s:v>
      </s:c>
      <s:c r="J92" s="21">
        <s:f>D92-H92</s:f>
        <s:v>268316.1940209916</s:v>
      </s:c>
      <s:c r="K92" s="21">
        <s:f>IF(A92&lt;=Assumptions!$B$32,K91+G92,0)</s:f>
        <s:v>0.0</s:v>
      </s:c>
    </s:row>
    <s:row r="93">
      <s:c r="A93" s="64" t="n">
        <s:v>89</s:v>
      </s:c>
      <s:c r="B93" s="65">
        <s:f>EDATE(DATE(2026,6,17),A93)</s:f>
        <s:v>48900.0</s:v>
      </s:c>
      <s:c r="C93" s="64">
        <s:f>INT((A93-1)/12)+1</s:f>
        <s:v>8.0</s:v>
      </s:c>
      <s:c r="D93" s="21">
        <s:f>J92</s:f>
        <s:v>268316.1940209916</s:v>
      </s:c>
      <s:c r="E93" s="21">
        <s:f>IF(A93&gt;Assumptions!$B$31,0,D93*IF(A93&lt;Assumptions!$B$37,Assumptions!$B$30,Assumptions!$B$36)/12)</s:f>
        <s:v>2996.197499901073</s:v>
      </s:c>
      <s:c r="F93" s="21">
        <s:f>IF(A93&gt;Assumptions!$B$35,0,MIN(E93,D93*Assumptions!$B$34/12))</s:f>
        <s:v>0.0</s:v>
      </s:c>
      <s:c r="G93" s="21">
        <s:f>E93-F93</s:f>
        <s:v>2996.197499901073</s:v>
      </s:c>
      <s:c r="H93" s="21">
        <s:f>IF(A93&gt;Assumptions!$B$31,0,IF(A93&lt;=Assumptions!$B$32+1,0,MIN(D93,PMT(IF(A93&lt;Assumptions!$B$37,Assumptions!$B$30,Assumptions!$B$36)/12,Assumptions!$B$31-A93+1,-D93)-E93)))</s:f>
        <s:v>7022.0507166740335</s:v>
      </s:c>
      <s:c r="I93" s="21">
        <s:f>IF(A93&gt;Assumptions!$B$31,0,IF(A93&lt;=Assumptions!$B$32,0,IF(A93=Assumptions!$B$32+1,K92+G93,H93+G93)))</s:f>
        <s:v>10018.248216575106</s:v>
      </s:c>
      <s:c r="J93" s="21">
        <s:f>D93-H93</s:f>
        <s:v>261294.14330431758</s:v>
      </s:c>
      <s:c r="K93" s="21">
        <s:f>IF(A93&lt;=Assumptions!$B$32,K92+G93,0)</s:f>
        <s:v>0.0</s:v>
      </s:c>
    </s:row>
    <s:row r="94">
      <s:c r="A94" s="64" t="n">
        <s:v>90</s:v>
      </s:c>
      <s:c r="B94" s="65">
        <s:f>EDATE(DATE(2026,6,17),A94)</s:f>
        <s:v>48930.0</s:v>
      </s:c>
      <s:c r="C94" s="64">
        <s:f>INT((A94-1)/12)+1</s:f>
        <s:v>8.0</s:v>
      </s:c>
      <s:c r="D94" s="21">
        <s:f>J93</s:f>
        <s:v>261294.14330431758</s:v>
      </s:c>
      <s:c r="E94" s="21">
        <s:f>IF(A94&gt;Assumptions!$B$31,0,D94*IF(A94&lt;Assumptions!$B$37,Assumptions!$B$30,Assumptions!$B$36)/12)</s:f>
        <s:v>2917.784600231547</s:v>
      </s:c>
      <s:c r="F94" s="21">
        <s:f>IF(A94&gt;Assumptions!$B$35,0,MIN(E94,D94*Assumptions!$B$34/12))</s:f>
        <s:v>0.0</s:v>
      </s:c>
      <s:c r="G94" s="21">
        <s:f>E94-F94</s:f>
        <s:v>2917.784600231547</s:v>
      </s:c>
      <s:c r="H94" s="21">
        <s:f>IF(A94&gt;Assumptions!$B$31,0,IF(A94&lt;=Assumptions!$B$32+1,0,MIN(D94,PMT(IF(A94&lt;Assumptions!$B$37,Assumptions!$B$30,Assumptions!$B$36)/12,Assumptions!$B$31-A94+1,-D94)-E94)))</s:f>
        <s:v>7100.463616343561</s:v>
      </s:c>
      <s:c r="I94" s="21">
        <s:f>IF(A94&gt;Assumptions!$B$31,0,IF(A94&lt;=Assumptions!$B$32,0,IF(A94=Assumptions!$B$32+1,K93+G94,H94+G94)))</s:f>
        <s:v>10018.248216575108</s:v>
      </s:c>
      <s:c r="J94" s="21">
        <s:f>D94-H94</s:f>
        <s:v>254193.679687974</s:v>
      </s:c>
      <s:c r="K94" s="21">
        <s:f>IF(A94&lt;=Assumptions!$B$32,K93+G94,0)</s:f>
        <s:v>0.0</s:v>
      </s:c>
    </s:row>
    <s:row r="95">
      <s:c r="A95" s="64" t="n">
        <s:v>91</s:v>
      </s:c>
      <s:c r="B95" s="65">
        <s:f>EDATE(DATE(2026,6,17),A95)</s:f>
        <s:v>48961.0</s:v>
      </s:c>
      <s:c r="C95" s="64">
        <s:f>INT((A95-1)/12)+1</s:f>
        <s:v>8.0</s:v>
      </s:c>
      <s:c r="D95" s="21">
        <s:f>J94</s:f>
        <s:v>254193.679687974</s:v>
      </s:c>
      <s:c r="E95" s="21">
        <s:f>IF(A95&gt;Assumptions!$B$31,0,D95*IF(A95&lt;Assumptions!$B$37,Assumptions!$B$30,Assumptions!$B$36)/12)</s:f>
        <s:v>2838.496089849043</s:v>
      </s:c>
      <s:c r="F95" s="21">
        <s:f>IF(A95&gt;Assumptions!$B$35,0,MIN(E95,D95*Assumptions!$B$34/12))</s:f>
        <s:v>0.0</s:v>
      </s:c>
      <s:c r="G95" s="21">
        <s:f>E95-F95</s:f>
        <s:v>2838.496089849043</s:v>
      </s:c>
      <s:c r="H95" s="21">
        <s:f>IF(A95&gt;Assumptions!$B$31,0,IF(A95&lt;=Assumptions!$B$32+1,0,MIN(D95,PMT(IF(A95&lt;Assumptions!$B$37,Assumptions!$B$30,Assumptions!$B$36)/12,Assumptions!$B$31-A95+1,-D95)-E95)))</s:f>
        <s:v>7179.752126726071</s:v>
      </s:c>
      <s:c r="I95" s="21">
        <s:f>IF(A95&gt;Assumptions!$B$31,0,IF(A95&lt;=Assumptions!$B$32,0,IF(A95=Assumptions!$B$32+1,K94+G95,H95+G95)))</s:f>
        <s:v>10018.248216575113</s:v>
      </s:c>
      <s:c r="J95" s="21">
        <s:f>D95-H95</s:f>
        <s:v>247013.92756124795</s:v>
      </s:c>
      <s:c r="K95" s="21">
        <s:f>IF(A95&lt;=Assumptions!$B$32,K94+G95,0)</s:f>
        <s:v>0.0</s:v>
      </s:c>
    </s:row>
    <s:row r="96">
      <s:c r="A96" s="64" t="n">
        <s:v>92</s:v>
      </s:c>
      <s:c r="B96" s="65">
        <s:f>EDATE(DATE(2026,6,17),A96)</s:f>
        <s:v>48992.0</s:v>
      </s:c>
      <s:c r="C96" s="64">
        <s:f>INT((A96-1)/12)+1</s:f>
        <s:v>8.0</s:v>
      </s:c>
      <s:c r="D96" s="21">
        <s:f>J95</s:f>
        <s:v>247013.92756124795</s:v>
      </s:c>
      <s:c r="E96" s="21">
        <s:f>IF(A96&gt;Assumptions!$B$31,0,D96*IF(A96&lt;Assumptions!$B$37,Assumptions!$B$30,Assumptions!$B$36)/12)</s:f>
        <s:v>2758.322191100602</s:v>
      </s:c>
      <s:c r="F96" s="21">
        <s:f>IF(A96&gt;Assumptions!$B$35,0,MIN(E96,D96*Assumptions!$B$34/12))</s:f>
        <s:v>0.0</s:v>
      </s:c>
      <s:c r="G96" s="21">
        <s:f>E96-F96</s:f>
        <s:v>2758.322191100602</s:v>
      </s:c>
      <s:c r="H96" s="21">
        <s:f>IF(A96&gt;Assumptions!$B$31,0,IF(A96&lt;=Assumptions!$B$32+1,0,MIN(D96,PMT(IF(A96&lt;Assumptions!$B$37,Assumptions!$B$30,Assumptions!$B$36)/12,Assumptions!$B$31-A96+1,-D96)-E96)))</s:f>
        <s:v>7259.926025474517</s:v>
      </s:c>
      <s:c r="I96" s="21">
        <s:f>IF(A96&gt;Assumptions!$B$31,0,IF(A96&lt;=Assumptions!$B$32,0,IF(A96=Assumptions!$B$32+1,K95+G96,H96+G96)))</s:f>
        <s:v>10018.248216575119</s:v>
      </s:c>
      <s:c r="J96" s="21">
        <s:f>D96-H96</s:f>
        <s:v>239754.00153577345</s:v>
      </s:c>
      <s:c r="K96" s="21">
        <s:f>IF(A96&lt;=Assumptions!$B$32,K95+G96,0)</s:f>
        <s:v>0.0</s:v>
      </s:c>
    </s:row>
    <s:row r="97">
      <s:c r="A97" s="64" t="n">
        <s:v>93</s:v>
      </s:c>
      <s:c r="B97" s="65">
        <s:f>EDATE(DATE(2026,6,17),A97)</s:f>
        <s:v>49020.0</s:v>
      </s:c>
      <s:c r="C97" s="64">
        <s:f>INT((A97-1)/12)+1</s:f>
        <s:v>8.0</s:v>
      </s:c>
      <s:c r="D97" s="21">
        <s:f>J96</s:f>
        <s:v>239754.00153577345</s:v>
      </s:c>
      <s:c r="E97" s="21">
        <s:f>IF(A97&gt;Assumptions!$B$31,0,D97*IF(A97&lt;Assumptions!$B$37,Assumptions!$B$30,Assumptions!$B$36)/12)</s:f>
        <s:v>2677.2530171494705</s:v>
      </s:c>
      <s:c r="F97" s="21">
        <s:f>IF(A97&gt;Assumptions!$B$35,0,MIN(E97,D97*Assumptions!$B$34/12))</s:f>
        <s:v>0.0</s:v>
      </s:c>
      <s:c r="G97" s="21">
        <s:f>E97-F97</s:f>
        <s:v>2677.2530171494705</s:v>
      </s:c>
      <s:c r="H97" s="21">
        <s:f>IF(A97&gt;Assumptions!$B$31,0,IF(A97&lt;=Assumptions!$B$32+1,0,MIN(D97,PMT(IF(A97&lt;Assumptions!$B$37,Assumptions!$B$30,Assumptions!$B$36)/12,Assumptions!$B$31-A97+1,-D97)-E97)))</s:f>
        <s:v>7340.995199425648</s:v>
      </s:c>
      <s:c r="I97" s="21">
        <s:f>IF(A97&gt;Assumptions!$B$31,0,IF(A97&lt;=Assumptions!$B$32,0,IF(A97=Assumptions!$B$32+1,K96+G97,H97+G97)))</s:f>
        <s:v>10018.248216575119</s:v>
      </s:c>
      <s:c r="J97" s="21">
        <s:f>D97-H97</s:f>
        <s:v>232413.0063363478</s:v>
      </s:c>
      <s:c r="K97" s="21">
        <s:f>IF(A97&lt;=Assumptions!$B$32,K96+G97,0)</s:f>
        <s:v>0.0</s:v>
      </s:c>
    </s:row>
    <s:row r="98">
      <s:c r="A98" s="64" t="n">
        <s:v>94</s:v>
      </s:c>
      <s:c r="B98" s="65">
        <s:f>EDATE(DATE(2026,6,17),A98)</s:f>
        <s:v>49051.0</s:v>
      </s:c>
      <s:c r="C98" s="64">
        <s:f>INT((A98-1)/12)+1</s:f>
        <s:v>8.0</s:v>
      </s:c>
      <s:c r="D98" s="21">
        <s:f>J97</s:f>
        <s:v>232413.0063363478</s:v>
      </s:c>
      <s:c r="E98" s="21">
        <s:f>IF(A98&gt;Assumptions!$B$31,0,D98*IF(A98&lt;Assumptions!$B$37,Assumptions!$B$30,Assumptions!$B$36)/12)</s:f>
        <s:v>2595.278570755884</s:v>
      </s:c>
      <s:c r="F98" s="21">
        <s:f>IF(A98&gt;Assumptions!$B$35,0,MIN(E98,D98*Assumptions!$B$34/12))</s:f>
        <s:v>0.0</s:v>
      </s:c>
      <s:c r="G98" s="21">
        <s:f>E98-F98</s:f>
        <s:v>2595.278570755884</s:v>
      </s:c>
      <s:c r="H98" s="21">
        <s:f>IF(A98&gt;Assumptions!$B$31,0,IF(A98&lt;=Assumptions!$B$32+1,0,MIN(D98,PMT(IF(A98&lt;Assumptions!$B$37,Assumptions!$B$30,Assumptions!$B$36)/12,Assumptions!$B$31-A98+1,-D98)-E98)))</s:f>
        <s:v>7422.969645819237</s:v>
      </s:c>
      <s:c r="I98" s="21">
        <s:f>IF(A98&gt;Assumptions!$B$31,0,IF(A98&lt;=Assumptions!$B$32,0,IF(A98=Assumptions!$B$32+1,K97+G98,H98+G98)))</s:f>
        <s:v>10018.24821657512</s:v>
      </s:c>
      <s:c r="J98" s="21">
        <s:f>D98-H98</s:f>
        <s:v>224990.03669052856</s:v>
      </s:c>
      <s:c r="K98" s="21">
        <s:f>IF(A98&lt;=Assumptions!$B$32,K97+G98,0)</s:f>
        <s:v>0.0</s:v>
      </s:c>
    </s:row>
    <s:row r="99">
      <s:c r="A99" s="64" t="n">
        <s:v>95</s:v>
      </s:c>
      <s:c r="B99" s="65">
        <s:f>EDATE(DATE(2026,6,17),A99)</s:f>
        <s:v>49081.0</s:v>
      </s:c>
      <s:c r="C99" s="64">
        <s:f>INT((A99-1)/12)+1</s:f>
        <s:v>8.0</s:v>
      </s:c>
      <s:c r="D99" s="21">
        <s:f>J98</s:f>
        <s:v>224990.03669052856</s:v>
      </s:c>
      <s:c r="E99" s="21">
        <s:f>IF(A99&gt;Assumptions!$B$31,0,D99*IF(A99&lt;Assumptions!$B$37,Assumptions!$B$30,Assumptions!$B$36)/12)</s:f>
        <s:v>2512.388743044236</s:v>
      </s:c>
      <s:c r="F99" s="21">
        <s:f>IF(A99&gt;Assumptions!$B$35,0,MIN(E99,D99*Assumptions!$B$34/12))</s:f>
        <s:v>0.0</s:v>
      </s:c>
      <s:c r="G99" s="21">
        <s:f>E99-F99</s:f>
        <s:v>2512.388743044236</s:v>
      </s:c>
      <s:c r="H99" s="21">
        <s:f>IF(A99&gt;Assumptions!$B$31,0,IF(A99&lt;=Assumptions!$B$32+1,0,MIN(D99,PMT(IF(A99&lt;Assumptions!$B$37,Assumptions!$B$30,Assumptions!$B$36)/12,Assumptions!$B$31-A99+1,-D99)-E99)))</s:f>
        <s:v>7505.859473530891</s:v>
      </s:c>
      <s:c r="I99" s="21">
        <s:f>IF(A99&gt;Assumptions!$B$31,0,IF(A99&lt;=Assumptions!$B$32,0,IF(A99=Assumptions!$B$32+1,K98+G99,H99+G99)))</s:f>
        <s:v>10018.248216575126</s:v>
      </s:c>
      <s:c r="J99" s="21">
        <s:f>D99-H99</s:f>
        <s:v>217484.17721699766</s:v>
      </s:c>
      <s:c r="K99" s="21">
        <s:f>IF(A99&lt;=Assumptions!$B$32,K98+G99,0)</s:f>
        <s:v>0.0</s:v>
      </s:c>
    </s:row>
    <s:row r="100">
      <s:c r="A100" s="64" t="n">
        <s:v>96</s:v>
      </s:c>
      <s:c r="B100" s="65">
        <s:f>EDATE(DATE(2026,6,17),A100)</s:f>
        <s:v>49112.0</s:v>
      </s:c>
      <s:c r="C100" s="64">
        <s:f>INT((A100-1)/12)+1</s:f>
        <s:v>8.0</s:v>
      </s:c>
      <s:c r="D100" s="21">
        <s:f>J99</s:f>
        <s:v>217484.17721699766</s:v>
      </s:c>
      <s:c r="E100" s="21">
        <s:f>IF(A100&gt;Assumptions!$B$31,0,D100*IF(A100&lt;Assumptions!$B$37,Assumptions!$B$30,Assumptions!$B$36)/12)</s:f>
        <s:v>2428.573312256474</s:v>
      </s:c>
      <s:c r="F100" s="21">
        <s:f>IF(A100&gt;Assumptions!$B$35,0,MIN(E100,D100*Assumptions!$B$34/12))</s:f>
        <s:v>0.0</s:v>
      </s:c>
      <s:c r="G100" s="21">
        <s:f>E100-F100</s:f>
        <s:v>2428.573312256474</s:v>
      </s:c>
      <s:c r="H100" s="21">
        <s:f>IF(A100&gt;Assumptions!$B$31,0,IF(A100&lt;=Assumptions!$B$32+1,0,MIN(D100,PMT(IF(A100&lt;Assumptions!$B$37,Assumptions!$B$30,Assumptions!$B$36)/12,Assumptions!$B$31-A100+1,-D100)-E100)))</s:f>
        <s:v>7589.674904318652</s:v>
      </s:c>
      <s:c r="I100" s="21">
        <s:f>IF(A100&gt;Assumptions!$B$31,0,IF(A100&lt;=Assumptions!$B$32,0,IF(A100=Assumptions!$B$32+1,K99+G100,H100+G100)))</s:f>
        <s:v>10018.248216575126</s:v>
      </s:c>
      <s:c r="J100" s="21">
        <s:f>D100-H100</s:f>
        <s:v>209894.50231267902</s:v>
      </s:c>
      <s:c r="K100" s="21">
        <s:f>IF(A100&lt;=Assumptions!$B$32,K99+G100,0)</s:f>
        <s:v>0.0</s:v>
      </s:c>
    </s:row>
    <s:row r="101">
      <s:c r="A101" s="64" t="n">
        <s:v>97</s:v>
      </s:c>
      <s:c r="B101" s="65">
        <s:f>EDATE(DATE(2026,6,17),A101)</s:f>
        <s:v>49142.0</s:v>
      </s:c>
      <s:c r="C101" s="64">
        <s:f>INT((A101-1)/12)+1</s:f>
        <s:v>9.0</s:v>
      </s:c>
      <s:c r="D101" s="21">
        <s:f>J100</s:f>
        <s:v>209894.50231267902</s:v>
      </s:c>
      <s:c r="E101" s="21">
        <s:f>IF(A101&gt;Assumptions!$B$31,0,D101*IF(A101&lt;Assumptions!$B$37,Assumptions!$B$30,Assumptions!$B$36)/12)</s:f>
        <s:v>2343.8219424915824</s:v>
      </s:c>
      <s:c r="F101" s="21">
        <s:f>IF(A101&gt;Assumptions!$B$35,0,MIN(E101,D101*Assumptions!$B$34/12))</s:f>
        <s:v>0.0</s:v>
      </s:c>
      <s:c r="G101" s="21">
        <s:f>E101-F101</s:f>
        <s:v>2343.8219424915824</s:v>
      </s:c>
      <s:c r="H101" s="21">
        <s:f>IF(A101&gt;Assumptions!$B$31,0,IF(A101&lt;=Assumptions!$B$32+1,0,MIN(D101,PMT(IF(A101&lt;Assumptions!$B$37,Assumptions!$B$30,Assumptions!$B$36)/12,Assumptions!$B$31-A101+1,-D101)-E101)))</s:f>
        <s:v>7674.426274083549</s:v>
      </s:c>
      <s:c r="I101" s="21">
        <s:f>IF(A101&gt;Assumptions!$B$31,0,IF(A101&lt;=Assumptions!$B$32,0,IF(A101=Assumptions!$B$32+1,K100+G101,H101+G101)))</s:f>
        <s:v>10018.248216575132</s:v>
      </s:c>
      <s:c r="J101" s="21">
        <s:f>D101-H101</s:f>
        <s:v>202220.07603859546</s:v>
      </s:c>
      <s:c r="K101" s="21">
        <s:f>IF(A101&lt;=Assumptions!$B$32,K100+G101,0)</s:f>
        <s:v>0.0</s:v>
      </s:c>
    </s:row>
    <s:row r="102">
      <s:c r="A102" s="64" t="n">
        <s:v>98</s:v>
      </s:c>
      <s:c r="B102" s="65">
        <s:f>EDATE(DATE(2026,6,17),A102)</s:f>
        <s:v>49173.0</s:v>
      </s:c>
      <s:c r="C102" s="64">
        <s:f>INT((A102-1)/12)+1</s:f>
        <s:v>9.0</s:v>
      </s:c>
      <s:c r="D102" s="21">
        <s:f>J101</s:f>
        <s:v>202220.07603859546</s:v>
      </s:c>
      <s:c r="E102" s="21">
        <s:f>IF(A102&gt;Assumptions!$B$31,0,D102*IF(A102&lt;Assumptions!$B$37,Assumptions!$B$30,Assumptions!$B$36)/12)</s:f>
        <s:v>2258.1241824309827</s:v>
      </s:c>
      <s:c r="F102" s="21">
        <s:f>IF(A102&gt;Assumptions!$B$35,0,MIN(E102,D102*Assumptions!$B$34/12))</s:f>
        <s:v>0.0</s:v>
      </s:c>
      <s:c r="G102" s="21">
        <s:f>E102-F102</s:f>
        <s:v>2258.1241824309827</s:v>
      </s:c>
      <s:c r="H102" s="21">
        <s:f>IF(A102&gt;Assumptions!$B$31,0,IF(A102&lt;=Assumptions!$B$32+1,0,MIN(D102,PMT(IF(A102&lt;Assumptions!$B$37,Assumptions!$B$30,Assumptions!$B$36)/12,Assumptions!$B$31-A102+1,-D102)-E102)))</s:f>
        <s:v>7760.124034144151</s:v>
      </s:c>
      <s:c r="I102" s="21">
        <s:f>IF(A102&gt;Assumptions!$B$31,0,IF(A102&lt;=Assumptions!$B$32,0,IF(A102=Assumptions!$B$32+1,K101+G102,H102+G102)))</s:f>
        <s:v>10018.248216575133</s:v>
      </s:c>
      <s:c r="J102" s="21">
        <s:f>D102-H102</s:f>
        <s:v>194459.9520044513</s:v>
      </s:c>
      <s:c r="K102" s="21">
        <s:f>IF(A102&lt;=Assumptions!$B$32,K101+G102,0)</s:f>
        <s:v>0.0</s:v>
      </s:c>
    </s:row>
    <s:row r="103">
      <s:c r="A103" s="64" t="n">
        <s:v>99</s:v>
      </s:c>
      <s:c r="B103" s="65">
        <s:f>EDATE(DATE(2026,6,17),A103)</s:f>
        <s:v>49204.0</s:v>
      </s:c>
      <s:c r="C103" s="64">
        <s:f>INT((A103-1)/12)+1</s:f>
        <s:v>9.0</s:v>
      </s:c>
      <s:c r="D103" s="21">
        <s:f>J102</s:f>
        <s:v>194459.9520044513</s:v>
      </s:c>
      <s:c r="E103" s="21">
        <s:f>IF(A103&gt;Assumptions!$B$31,0,D103*IF(A103&lt;Assumptions!$B$37,Assumptions!$B$30,Assumptions!$B$36)/12)</s:f>
        <s:v>2171.4694640497064</s:v>
      </s:c>
      <s:c r="F103" s="21">
        <s:f>IF(A103&gt;Assumptions!$B$35,0,MIN(E103,D103*Assumptions!$B$34/12))</s:f>
        <s:v>0.0</s:v>
      </s:c>
      <s:c r="G103" s="21">
        <s:f>E103-F103</s:f>
        <s:v>2171.4694640497064</s:v>
      </s:c>
      <s:c r="H103" s="21">
        <s:f>IF(A103&gt;Assumptions!$B$31,0,IF(A103&lt;=Assumptions!$B$32+1,0,MIN(D103,PMT(IF(A103&lt;Assumptions!$B$37,Assumptions!$B$30,Assumptions!$B$36)/12,Assumptions!$B$31-A103+1,-D103)-E103)))</s:f>
        <s:v>7846.7787525254325</s:v>
      </s:c>
      <s:c r="I103" s="21">
        <s:f>IF(A103&gt;Assumptions!$B$31,0,IF(A103&lt;=Assumptions!$B$32,0,IF(A103=Assumptions!$B$32+1,K102+G103,H103+G103)))</s:f>
        <s:v>10018.248216575139</s:v>
      </s:c>
      <s:c r="J103" s="21">
        <s:f>D103-H103</s:f>
        <s:v>186613.17325192588</s:v>
      </s:c>
      <s:c r="K103" s="21">
        <s:f>IF(A103&lt;=Assumptions!$B$32,K102+G103,0)</s:f>
        <s:v>0.0</s:v>
      </s:c>
    </s:row>
    <s:row r="104">
      <s:c r="A104" s="64" t="n">
        <s:v>100</s:v>
      </s:c>
      <s:c r="B104" s="65">
        <s:f>EDATE(DATE(2026,6,17),A104)</s:f>
        <s:v>49234.0</s:v>
      </s:c>
      <s:c r="C104" s="64">
        <s:f>INT((A104-1)/12)+1</s:f>
        <s:v>9.0</s:v>
      </s:c>
      <s:c r="D104" s="21">
        <s:f>J103</s:f>
        <s:v>186613.17325192588</s:v>
      </s:c>
      <s:c r="E104" s="21">
        <s:f>IF(A104&gt;Assumptions!$B$31,0,D104*IF(A104&lt;Assumptions!$B$37,Assumptions!$B$30,Assumptions!$B$36)/12)</s:f>
        <s:v>2083.8471013131725</s:v>
      </s:c>
      <s:c r="F104" s="21">
        <s:f>IF(A104&gt;Assumptions!$B$35,0,MIN(E104,D104*Assumptions!$B$34/12))</s:f>
        <s:v>0.0</s:v>
      </s:c>
      <s:c r="G104" s="21">
        <s:f>E104-F104</s:f>
        <s:v>2083.8471013131725</s:v>
      </s:c>
      <s:c r="H104" s="21">
        <s:f>IF(A104&gt;Assumptions!$B$31,0,IF(A104&lt;=Assumptions!$B$32+1,0,MIN(D104,PMT(IF(A104&lt;Assumptions!$B$37,Assumptions!$B$30,Assumptions!$B$36)/12,Assumptions!$B$31-A104+1,-D104)-E104)))</s:f>
        <s:v>7934.401115261964</s:v>
      </s:c>
      <s:c r="I104" s="21">
        <s:f>IF(A104&gt;Assumptions!$B$31,0,IF(A104&lt;=Assumptions!$B$32,0,IF(A104=Assumptions!$B$32+1,K103+G104,H104+G104)))</s:f>
        <s:v>10018.248216575137</s:v>
      </s:c>
      <s:c r="J104" s="21">
        <s:f>D104-H104</s:f>
        <s:v>178678.7721366639</s:v>
      </s:c>
      <s:c r="K104" s="21">
        <s:f>IF(A104&lt;=Assumptions!$B$32,K103+G104,0)</s:f>
        <s:v>0.0</s:v>
      </s:c>
    </s:row>
    <s:row r="105">
      <s:c r="A105" s="64" t="n">
        <s:v>101</s:v>
      </s:c>
      <s:c r="B105" s="65">
        <s:f>EDATE(DATE(2026,6,17),A105)</s:f>
        <s:v>49265.0</s:v>
      </s:c>
      <s:c r="C105" s="64">
        <s:f>INT((A105-1)/12)+1</s:f>
        <s:v>9.0</s:v>
      </s:c>
      <s:c r="D105" s="21">
        <s:f>J104</s:f>
        <s:v>178678.7721366639</s:v>
      </s:c>
      <s:c r="E105" s="21">
        <s:f>IF(A105&gt;Assumptions!$B$31,0,D105*IF(A105&lt;Assumptions!$B$37,Assumptions!$B$30,Assumptions!$B$36)/12)</s:f>
        <s:v>1995.2462888594137</s:v>
      </s:c>
      <s:c r="F105" s="21">
        <s:f>IF(A105&gt;Assumptions!$B$35,0,MIN(E105,D105*Assumptions!$B$34/12))</s:f>
        <s:v>0.0</s:v>
      </s:c>
      <s:c r="G105" s="21">
        <s:f>E105-F105</s:f>
        <s:v>1995.2462888594137</s:v>
      </s:c>
      <s:c r="H105" s="21">
        <s:f>IF(A105&gt;Assumptions!$B$31,0,IF(A105&lt;=Assumptions!$B$32+1,0,MIN(D105,PMT(IF(A105&lt;Assumptions!$B$37,Assumptions!$B$30,Assumptions!$B$36)/12,Assumptions!$B$31-A105+1,-D105)-E105)))</s:f>
        <s:v>8023.001927715729</s:v>
      </s:c>
      <s:c r="I105" s="21">
        <s:f>IF(A105&gt;Assumptions!$B$31,0,IF(A105&lt;=Assumptions!$B$32,0,IF(A105=Assumptions!$B$32+1,K104+G105,H105+G105)))</s:f>
        <s:v>10018.248216575143</s:v>
      </s:c>
      <s:c r="J105" s="21">
        <s:f>D105-H105</s:f>
        <s:v>170655.77020894818</s:v>
      </s:c>
      <s:c r="K105" s="21">
        <s:f>IF(A105&lt;=Assumptions!$B$32,K104+G105,0)</s:f>
        <s:v>0.0</s:v>
      </s:c>
    </s:row>
    <s:row r="106">
      <s:c r="A106" s="64" t="n">
        <s:v>102</s:v>
      </s:c>
      <s:c r="B106" s="65">
        <s:f>EDATE(DATE(2026,6,17),A106)</s:f>
        <s:v>49295.0</s:v>
      </s:c>
      <s:c r="C106" s="64">
        <s:f>INT((A106-1)/12)+1</s:f>
        <s:v>9.0</s:v>
      </s:c>
      <s:c r="D106" s="21">
        <s:f>J105</s:f>
        <s:v>170655.77020894818</s:v>
      </s:c>
      <s:c r="E106" s="21">
        <s:f>IF(A106&gt;Assumptions!$B$31,0,D106*IF(A106&lt;Assumptions!$B$37,Assumptions!$B$30,Assumptions!$B$36)/12)</s:f>
        <s:v>1905.6561006665881</s:v>
      </s:c>
      <s:c r="F106" s="21">
        <s:f>IF(A106&gt;Assumptions!$B$35,0,MIN(E106,D106*Assumptions!$B$34/12))</s:f>
        <s:v>0.0</s:v>
      </s:c>
      <s:c r="G106" s="21">
        <s:f>E106-F106</s:f>
        <s:v>1905.6561006665881</s:v>
      </s:c>
      <s:c r="H106" s="21">
        <s:f>IF(A106&gt;Assumptions!$B$31,0,IF(A106&lt;=Assumptions!$B$32+1,0,MIN(D106,PMT(IF(A106&lt;Assumptions!$B$37,Assumptions!$B$30,Assumptions!$B$36)/12,Assumptions!$B$31-A106+1,-D106)-E106)))</s:f>
        <s:v>8112.592115908562</s:v>
      </s:c>
      <s:c r="I106" s="21">
        <s:f>IF(A106&gt;Assumptions!$B$31,0,IF(A106&lt;=Assumptions!$B$32,0,IF(A106=Assumptions!$B$32+1,K105+G106,H106+G106)))</s:f>
        <s:v>10018.24821657515</s:v>
      </s:c>
      <s:c r="J106" s="21">
        <s:f>D106-H106</s:f>
        <s:v>162543.1780930396</s:v>
      </s:c>
      <s:c r="K106" s="21">
        <s:f>IF(A106&lt;=Assumptions!$B$32,K105+G106,0)</s:f>
        <s:v>0.0</s:v>
      </s:c>
    </s:row>
    <s:row r="107">
      <s:c r="A107" s="64" t="n">
        <s:v>103</s:v>
      </s:c>
      <s:c r="B107" s="65">
        <s:f>EDATE(DATE(2026,6,17),A107)</s:f>
        <s:v>49326.0</s:v>
      </s:c>
      <s:c r="C107" s="64">
        <s:f>INT((A107-1)/12)+1</s:f>
        <s:v>9.0</s:v>
      </s:c>
      <s:c r="D107" s="21">
        <s:f>J106</s:f>
        <s:v>162543.1780930396</s:v>
      </s:c>
      <s:c r="E107" s="21">
        <s:f>IF(A107&gt;Assumptions!$B$31,0,D107*IF(A107&lt;Assumptions!$B$37,Assumptions!$B$30,Assumptions!$B$36)/12)</s:f>
        <s:v>1815.065488705609</s:v>
      </s:c>
      <s:c r="F107" s="21">
        <s:f>IF(A107&gt;Assumptions!$B$35,0,MIN(E107,D107*Assumptions!$B$34/12))</s:f>
        <s:v>0.0</s:v>
      </s:c>
      <s:c r="G107" s="21">
        <s:f>E107-F107</s:f>
        <s:v>1815.065488705609</s:v>
      </s:c>
      <s:c r="H107" s="21">
        <s:f>IF(A107&gt;Assumptions!$B$31,0,IF(A107&lt;=Assumptions!$B$32+1,0,MIN(D107,PMT(IF(A107&lt;Assumptions!$B$37,Assumptions!$B$30,Assumptions!$B$36)/12,Assumptions!$B$31-A107+1,-D107)-E107)))</s:f>
        <s:v>8203.182727869545</s:v>
      </s:c>
      <s:c r="I107" s="21">
        <s:f>IF(A107&gt;Assumptions!$B$31,0,IF(A107&lt;=Assumptions!$B$32,0,IF(A107=Assumptions!$B$32+1,K106+G107,H107+G107)))</s:f>
        <s:v>10018.248216575153</s:v>
      </s:c>
      <s:c r="J107" s="21">
        <s:f>D107-H107</s:f>
        <s:v>154339.99536517006</s:v>
      </s:c>
      <s:c r="K107" s="21">
        <s:f>IF(A107&lt;=Assumptions!$B$32,K106+G107,0)</s:f>
        <s:v>0.0</s:v>
      </s:c>
    </s:row>
    <s:row r="108">
      <s:c r="A108" s="64" t="n">
        <s:v>104</s:v>
      </s:c>
      <s:c r="B108" s="65">
        <s:f>EDATE(DATE(2026,6,17),A108)</s:f>
        <s:v>49357.0</s:v>
      </s:c>
      <s:c r="C108" s="64">
        <s:f>INT((A108-1)/12)+1</s:f>
        <s:v>9.0</s:v>
      </s:c>
      <s:c r="D108" s="21">
        <s:f>J107</s:f>
        <s:v>154339.99536517006</s:v>
      </s:c>
      <s:c r="E108" s="21">
        <s:f>IF(A108&gt;Assumptions!$B$31,0,D108*IF(A108&lt;Assumptions!$B$37,Assumptions!$B$30,Assumptions!$B$36)/12)</s:f>
        <s:v>1723.4632815777325</s:v>
      </s:c>
      <s:c r="F108" s="21">
        <s:f>IF(A108&gt;Assumptions!$B$35,0,MIN(E108,D108*Assumptions!$B$34/12))</s:f>
        <s:v>0.0</s:v>
      </s:c>
      <s:c r="G108" s="21">
        <s:f>E108-F108</s:f>
        <s:v>1723.4632815777325</s:v>
      </s:c>
      <s:c r="H108" s="21">
        <s:f>IF(A108&gt;Assumptions!$B$31,0,IF(A108&lt;=Assumptions!$B$32+1,0,MIN(D108,PMT(IF(A108&lt;Assumptions!$B$37,Assumptions!$B$30,Assumptions!$B$36)/12,Assumptions!$B$31-A108+1,-D108)-E108)))</s:f>
        <s:v>8294.784934997424</s:v>
      </s:c>
      <s:c r="I108" s="21">
        <s:f>IF(A108&gt;Assumptions!$B$31,0,IF(A108&lt;=Assumptions!$B$32,0,IF(A108=Assumptions!$B$32+1,K107+G108,H108+G108)))</s:f>
        <s:v>10018.248216575157</s:v>
      </s:c>
      <s:c r="J108" s="21">
        <s:f>D108-H108</s:f>
        <s:v>146045.21043017265</s:v>
      </s:c>
      <s:c r="K108" s="21">
        <s:f>IF(A108&lt;=Assumptions!$B$32,K107+G108,0)</s:f>
        <s:v>0.0</s:v>
      </s:c>
    </s:row>
    <s:row r="109">
      <s:c r="A109" s="64" t="n">
        <s:v>105</s:v>
      </s:c>
      <s:c r="B109" s="65">
        <s:f>EDATE(DATE(2026,6,17),A109)</s:f>
        <s:v>49385.0</s:v>
      </s:c>
      <s:c r="C109" s="64">
        <s:f>INT((A109-1)/12)+1</s:f>
        <s:v>9.0</s:v>
      </s:c>
      <s:c r="D109" s="21">
        <s:f>J108</s:f>
        <s:v>146045.21043017265</s:v>
      </s:c>
      <s:c r="E109" s="21">
        <s:f>IF(A109&gt;Assumptions!$B$31,0,D109*IF(A109&lt;Assumptions!$B$37,Assumptions!$B$30,Assumptions!$B$36)/12)</s:f>
        <s:v>1630.838183136928</s:v>
      </s:c>
      <s:c r="F109" s="21">
        <s:f>IF(A109&gt;Assumptions!$B$35,0,MIN(E109,D109*Assumptions!$B$34/12))</s:f>
        <s:v>0.0</s:v>
      </s:c>
      <s:c r="G109" s="21">
        <s:f>E109-F109</s:f>
        <s:v>1630.838183136928</s:v>
      </s:c>
      <s:c r="H109" s="21">
        <s:f>IF(A109&gt;Assumptions!$B$31,0,IF(A109&lt;=Assumptions!$B$32+1,0,MIN(D109,PMT(IF(A109&lt;Assumptions!$B$37,Assumptions!$B$30,Assumptions!$B$36)/12,Assumptions!$B$31-A109+1,-D109)-E109)))</s:f>
        <s:v>8387.410033438236</s:v>
      </s:c>
      <s:c r="I109" s="21">
        <s:f>IF(A109&gt;Assumptions!$B$31,0,IF(A109&lt;=Assumptions!$B$32,0,IF(A109=Assumptions!$B$32+1,K108+G109,H109+G109)))</s:f>
        <s:v>10018.248216575164</s:v>
      </s:c>
      <s:c r="J109" s="21">
        <s:f>D109-H109</s:f>
        <s:v>137657.8003967344</s:v>
      </s:c>
      <s:c r="K109" s="21">
        <s:f>IF(A109&lt;=Assumptions!$B$32,K108+G109,0)</s:f>
        <s:v>0.0</s:v>
      </s:c>
    </s:row>
    <s:row r="110">
      <s:c r="A110" s="64" t="n">
        <s:v>106</s:v>
      </s:c>
      <s:c r="B110" s="65">
        <s:f>EDATE(DATE(2026,6,17),A110)</s:f>
        <s:v>49416.0</s:v>
      </s:c>
      <s:c r="C110" s="64">
        <s:f>INT((A110-1)/12)+1</s:f>
        <s:v>9.0</s:v>
      </s:c>
      <s:c r="D110" s="21">
        <s:f>J109</s:f>
        <s:v>137657.8003967344</s:v>
      </s:c>
      <s:c r="E110" s="21">
        <s:f>IF(A110&gt;Assumptions!$B$31,0,D110*IF(A110&lt;Assumptions!$B$37,Assumptions!$B$30,Assumptions!$B$36)/12)</s:f>
        <s:v>1537.1787710968676</s:v>
      </s:c>
      <s:c r="F110" s="21">
        <s:f>IF(A110&gt;Assumptions!$B$35,0,MIN(E110,D110*Assumptions!$B$34/12))</s:f>
        <s:v>0.0</s:v>
      </s:c>
      <s:c r="G110" s="21">
        <s:f>E110-F110</s:f>
        <s:v>1537.1787710968676</s:v>
      </s:c>
      <s:c r="H110" s="21">
        <s:f>IF(A110&gt;Assumptions!$B$31,0,IF(A110&lt;=Assumptions!$B$32+1,0,MIN(D110,PMT(IF(A110&lt;Assumptions!$B$37,Assumptions!$B$30,Assumptions!$B$36)/12,Assumptions!$B$31-A110+1,-D110)-E110)))</s:f>
        <s:v>8481.06944547831</s:v>
      </s:c>
      <s:c r="I110" s="21">
        <s:f>IF(A110&gt;Assumptions!$B$31,0,IF(A110&lt;=Assumptions!$B$32,0,IF(A110=Assumptions!$B$32+1,K109+G110,H110+G110)))</s:f>
        <s:v>10018.248216575177</s:v>
      </s:c>
      <s:c r="J110" s="21">
        <s:f>D110-H110</s:f>
        <s:v>129176.7309512561</s:v>
      </s:c>
      <s:c r="K110" s="21">
        <s:f>IF(A110&lt;=Assumptions!$B$32,K109+G110,0)</s:f>
        <s:v>0.0</s:v>
      </s:c>
    </s:row>
    <s:row r="111">
      <s:c r="A111" s="64" t="n">
        <s:v>107</s:v>
      </s:c>
      <s:c r="B111" s="65">
        <s:f>EDATE(DATE(2026,6,17),A111)</s:f>
        <s:v>49446.0</s:v>
      </s:c>
      <s:c r="C111" s="64">
        <s:f>INT((A111-1)/12)+1</s:f>
        <s:v>9.0</s:v>
      </s:c>
      <s:c r="D111" s="21">
        <s:f>J110</s:f>
        <s:v>129176.7309512561</s:v>
      </s:c>
      <s:c r="E111" s="21">
        <s:f>IF(A111&gt;Assumptions!$B$31,0,D111*IF(A111&lt;Assumptions!$B$37,Assumptions!$B$30,Assumptions!$B$36)/12)</s:f>
        <s:v>1442.47349562236</s:v>
      </s:c>
      <s:c r="F111" s="21">
        <s:f>IF(A111&gt;Assumptions!$B$35,0,MIN(E111,D111*Assumptions!$B$34/12))</s:f>
        <s:v>0.0</s:v>
      </s:c>
      <s:c r="G111" s="21">
        <s:f>E111-F111</s:f>
        <s:v>1442.47349562236</s:v>
      </s:c>
      <s:c r="H111" s="21">
        <s:f>IF(A111&gt;Assumptions!$B$31,0,IF(A111&lt;=Assumptions!$B$32+1,0,MIN(D111,PMT(IF(A111&lt;Assumptions!$B$37,Assumptions!$B$30,Assumptions!$B$36)/12,Assumptions!$B$31-A111+1,-D111)-E111)))</s:f>
        <s:v>8575.774720952815</s:v>
      </s:c>
      <s:c r="I111" s="21">
        <s:f>IF(A111&gt;Assumptions!$B$31,0,IF(A111&lt;=Assumptions!$B$32,0,IF(A111=Assumptions!$B$32+1,K110+G111,H111+G111)))</s:f>
        <s:v>10018.248216575175</s:v>
      </s:c>
      <s:c r="J111" s="21">
        <s:f>D111-H111</s:f>
        <s:v>120600.95623030329</s:v>
      </s:c>
      <s:c r="K111" s="21">
        <s:f>IF(A111&lt;=Assumptions!$B$32,K110+G111,0)</s:f>
        <s:v>0.0</s:v>
      </s:c>
    </s:row>
    <s:row r="112">
      <s:c r="A112" s="64" t="n">
        <s:v>108</s:v>
      </s:c>
      <s:c r="B112" s="65">
        <s:f>EDATE(DATE(2026,6,17),A112)</s:f>
        <s:v>49477.0</s:v>
      </s:c>
      <s:c r="C112" s="64">
        <s:f>INT((A112-1)/12)+1</s:f>
        <s:v>9.0</s:v>
      </s:c>
      <s:c r="D112" s="21">
        <s:f>J111</s:f>
        <s:v>120600.95623030329</s:v>
      </s:c>
      <s:c r="E112" s="21">
        <s:f>IF(A112&gt;Assumptions!$B$31,0,D112*IF(A112&lt;Assumptions!$B$37,Assumptions!$B$30,Assumptions!$B$36)/12)</s:f>
        <s:v>1346.7106779050534</s:v>
      </s:c>
      <s:c r="F112" s="21">
        <s:f>IF(A112&gt;Assumptions!$B$35,0,MIN(E112,D112*Assumptions!$B$34/12))</s:f>
        <s:v>0.0</s:v>
      </s:c>
      <s:c r="G112" s="21">
        <s:f>E112-F112</s:f>
        <s:v>1346.7106779050534</s:v>
      </s:c>
      <s:c r="H112" s="21">
        <s:f>IF(A112&gt;Assumptions!$B$31,0,IF(A112&lt;=Assumptions!$B$32+1,0,MIN(D112,PMT(IF(A112&lt;Assumptions!$B$37,Assumptions!$B$30,Assumptions!$B$36)/12,Assumptions!$B$31-A112+1,-D112)-E112)))</s:f>
        <s:v>8671.537538670123</s:v>
      </s:c>
      <s:c r="I112" s="21">
        <s:f>IF(A112&gt;Assumptions!$B$31,0,IF(A112&lt;=Assumptions!$B$32,0,IF(A112=Assumptions!$B$32+1,K111+G112,H112+G112)))</s:f>
        <s:v>10018.248216575177</s:v>
      </s:c>
      <s:c r="J112" s="21">
        <s:f>D112-H112</s:f>
        <s:v>111929.41869163317</s:v>
      </s:c>
      <s:c r="K112" s="21">
        <s:f>IF(A112&lt;=Assumptions!$B$32,K111+G112,0)</s:f>
        <s:v>0.0</s:v>
      </s:c>
    </s:row>
    <s:row r="113">
      <s:c r="A113" s="64" t="n">
        <s:v>109</s:v>
      </s:c>
      <s:c r="B113" s="65">
        <s:f>EDATE(DATE(2026,6,17),A113)</s:f>
        <s:v>49507.0</s:v>
      </s:c>
      <s:c r="C113" s="64">
        <s:f>INT((A113-1)/12)+1</s:f>
        <s:v>10.0</s:v>
      </s:c>
      <s:c r="D113" s="21">
        <s:f>J112</s:f>
        <s:v>111929.41869163317</s:v>
      </s:c>
      <s:c r="E113" s="21">
        <s:f>IF(A113&gt;Assumptions!$B$31,0,D113*IF(A113&lt;Assumptions!$B$37,Assumptions!$B$30,Assumptions!$B$36)/12)</s:f>
        <s:v>1249.878508723237</s:v>
      </s:c>
      <s:c r="F113" s="21">
        <s:f>IF(A113&gt;Assumptions!$B$35,0,MIN(E113,D113*Assumptions!$B$34/12))</s:f>
        <s:v>0.0</s:v>
      </s:c>
      <s:c r="G113" s="21">
        <s:f>E113-F113</s:f>
        <s:v>1249.878508723237</s:v>
      </s:c>
      <s:c r="H113" s="21">
        <s:f>IF(A113&gt;Assumptions!$B$31,0,IF(A113&lt;=Assumptions!$B$32+1,0,MIN(D113,PMT(IF(A113&lt;Assumptions!$B$37,Assumptions!$B$30,Assumptions!$B$36)/12,Assumptions!$B$31-A113+1,-D113)-E113)))</s:f>
        <s:v>8768.369707851958</s:v>
      </s:c>
      <s:c r="I113" s="21">
        <s:f>IF(A113&gt;Assumptions!$B$31,0,IF(A113&lt;=Assumptions!$B$32,0,IF(A113=Assumptions!$B$32+1,K112+G113,H113+G113)))</s:f>
        <s:v>10018.248216575195</s:v>
      </s:c>
      <s:c r="J113" s="21">
        <s:f>D113-H113</s:f>
        <s:v>103161.0489837812</s:v>
      </s:c>
      <s:c r="K113" s="21">
        <s:f>IF(A113&lt;=Assumptions!$B$32,K112+G113,0)</s:f>
        <s:v>0.0</s:v>
      </s:c>
    </s:row>
    <s:row r="114">
      <s:c r="A114" s="64" t="n">
        <s:v>110</s:v>
      </s:c>
      <s:c r="B114" s="65">
        <s:f>EDATE(DATE(2026,6,17),A114)</s:f>
        <s:v>49538.0</s:v>
      </s:c>
      <s:c r="C114" s="64">
        <s:f>INT((A114-1)/12)+1</s:f>
        <s:v>10.0</s:v>
      </s:c>
      <s:c r="D114" s="21">
        <s:f>J113</s:f>
        <s:v>103161.0489837812</s:v>
      </s:c>
      <s:c r="E114" s="21">
        <s:f>IF(A114&gt;Assumptions!$B$31,0,D114*IF(A114&lt;Assumptions!$B$37,Assumptions!$B$30,Assumptions!$B$36)/12)</s:f>
        <s:v>1151.965046985557</s:v>
      </s:c>
      <s:c r="F114" s="21">
        <s:f>IF(A114&gt;Assumptions!$B$35,0,MIN(E114,D114*Assumptions!$B$34/12))</s:f>
        <s:v>0.0</s:v>
      </s:c>
      <s:c r="G114" s="21">
        <s:f>E114-F114</s:f>
        <s:v>1151.965046985557</s:v>
      </s:c>
      <s:c r="H114" s="21">
        <s:f>IF(A114&gt;Assumptions!$B$31,0,IF(A114&lt;=Assumptions!$B$32+1,0,MIN(D114,PMT(IF(A114&lt;Assumptions!$B$37,Assumptions!$B$30,Assumptions!$B$36)/12,Assumptions!$B$31-A114+1,-D114)-E114)))</s:f>
        <s:v>8866.283169589646</s:v>
      </s:c>
      <s:c r="I114" s="21">
        <s:f>IF(A114&gt;Assumptions!$B$31,0,IF(A114&lt;=Assumptions!$B$32,0,IF(A114=Assumptions!$B$32+1,K113+G114,H114+G114)))</s:f>
        <s:v>10018.248216575203</s:v>
      </s:c>
      <s:c r="J114" s="21">
        <s:f>D114-H114</s:f>
        <s:v>94294.76581419156</s:v>
      </s:c>
      <s:c r="K114" s="21">
        <s:f>IF(A114&lt;=Assumptions!$B$32,K113+G114,0)</s:f>
        <s:v>0.0</s:v>
      </s:c>
    </s:row>
    <s:row r="115">
      <s:c r="A115" s="64" t="n">
        <s:v>111</s:v>
      </s:c>
      <s:c r="B115" s="65">
        <s:f>EDATE(DATE(2026,6,17),A115)</s:f>
        <s:v>49569.0</s:v>
      </s:c>
      <s:c r="C115" s="64">
        <s:f>INT((A115-1)/12)+1</s:f>
        <s:v>10.0</s:v>
      </s:c>
      <s:c r="D115" s="21">
        <s:f>J114</s:f>
        <s:v>94294.76581419156</s:v>
      </s:c>
      <s:c r="E115" s="21">
        <s:f>IF(A115&gt;Assumptions!$B$31,0,D115*IF(A115&lt;Assumptions!$B$37,Assumptions!$B$30,Assumptions!$B$36)/12)</s:f>
        <s:v>1052.9582182584725</s:v>
      </s:c>
      <s:c r="F115" s="21">
        <s:f>IF(A115&gt;Assumptions!$B$35,0,MIN(E115,D115*Assumptions!$B$34/12))</s:f>
        <s:v>0.0</s:v>
      </s:c>
      <s:c r="G115" s="21">
        <s:f>E115-F115</s:f>
        <s:v>1052.9582182584725</s:v>
      </s:c>
      <s:c r="H115" s="21">
        <s:f>IF(A115&gt;Assumptions!$B$31,0,IF(A115&lt;=Assumptions!$B$32+1,0,MIN(D115,PMT(IF(A115&lt;Assumptions!$B$37,Assumptions!$B$30,Assumptions!$B$36)/12,Assumptions!$B$31-A115+1,-D115)-E115)))</s:f>
        <s:v>8965.289998316728</s:v>
      </s:c>
      <s:c r="I115" s="21">
        <s:f>IF(A115&gt;Assumptions!$B$31,0,IF(A115&lt;=Assumptions!$B$32,0,IF(A115=Assumptions!$B$32+1,K114+G115,H115+G115)))</s:f>
        <s:v>10018.2482165752</s:v>
      </s:c>
      <s:c r="J115" s="21">
        <s:f>D115-H115</s:f>
        <s:v>85329.47581587483</s:v>
      </s:c>
      <s:c r="K115" s="21">
        <s:f>IF(A115&lt;=Assumptions!$B$32,K114+G115,0)</s:f>
        <s:v>0.0</s:v>
      </s:c>
    </s:row>
    <s:row r="116">
      <s:c r="A116" s="64" t="n">
        <s:v>112</s:v>
      </s:c>
      <s:c r="B116" s="65">
        <s:f>EDATE(DATE(2026,6,17),A116)</s:f>
        <s:v>49599.0</s:v>
      </s:c>
      <s:c r="C116" s="64">
        <s:f>INT((A116-1)/12)+1</s:f>
        <s:v>10.0</s:v>
      </s:c>
      <s:c r="D116" s="21">
        <s:f>J115</s:f>
        <s:v>85329.47581587483</s:v>
      </s:c>
      <s:c r="E116" s="21">
        <s:f>IF(A116&gt;Assumptions!$B$31,0,D116*IF(A116&lt;Assumptions!$B$37,Assumptions!$B$30,Assumptions!$B$36)/12)</s:f>
        <s:v>952.8458132772689</s:v>
      </s:c>
      <s:c r="F116" s="21">
        <s:f>IF(A116&gt;Assumptions!$B$35,0,MIN(E116,D116*Assumptions!$B$34/12))</s:f>
        <s:v>0.0</s:v>
      </s:c>
      <s:c r="G116" s="21">
        <s:f>E116-F116</s:f>
        <s:v>952.8458132772689</s:v>
      </s:c>
      <s:c r="H116" s="21">
        <s:f>IF(A116&gt;Assumptions!$B$31,0,IF(A116&lt;=Assumptions!$B$32+1,0,MIN(D116,PMT(IF(A116&lt;Assumptions!$B$37,Assumptions!$B$30,Assumptions!$B$36)/12,Assumptions!$B$31-A116+1,-D116)-E116)))</s:f>
        <s:v>9065.402403297956</s:v>
      </s:c>
      <s:c r="I116" s="21">
        <s:f>IF(A116&gt;Assumptions!$B$31,0,IF(A116&lt;=Assumptions!$B$32,0,IF(A116=Assumptions!$B$32+1,K115+G116,H116+G116)))</s:f>
        <s:v>10018.248216575224</s:v>
      </s:c>
      <s:c r="J116" s="21">
        <s:f>D116-H116</s:f>
        <s:v>76264.07341257688</s:v>
      </s:c>
      <s:c r="K116" s="21">
        <s:f>IF(A116&lt;=Assumptions!$B$32,K115+G116,0)</s:f>
        <s:v>0.0</s:v>
      </s:c>
    </s:row>
    <s:row r="117">
      <s:c r="A117" s="64" t="n">
        <s:v>113</s:v>
      </s:c>
      <s:c r="B117" s="65">
        <s:f>EDATE(DATE(2026,6,17),A117)</s:f>
        <s:v>49630.0</s:v>
      </s:c>
      <s:c r="C117" s="64">
        <s:f>INT((A117-1)/12)+1</s:f>
        <s:v>10.0</s:v>
      </s:c>
      <s:c r="D117" s="21">
        <s:f>J116</s:f>
        <s:v>76264.07341257688</s:v>
      </s:c>
      <s:c r="E117" s="21">
        <s:f>IF(A117&gt;Assumptions!$B$31,0,D117*IF(A117&lt;Assumptions!$B$37,Assumptions!$B$30,Assumptions!$B$36)/12)</s:f>
        <s:v>851.6154864404419</s:v>
      </s:c>
      <s:c r="F117" s="21">
        <s:f>IF(A117&gt;Assumptions!$B$35,0,MIN(E117,D117*Assumptions!$B$34/12))</s:f>
        <s:v>0.0</s:v>
      </s:c>
      <s:c r="G117" s="21">
        <s:f>E117-F117</s:f>
        <s:v>851.6154864404419</s:v>
      </s:c>
      <s:c r="H117" s="21">
        <s:f>IF(A117&gt;Assumptions!$B$31,0,IF(A117&lt;=Assumptions!$B$32+1,0,MIN(D117,PMT(IF(A117&lt;Assumptions!$B$37,Assumptions!$B$30,Assumptions!$B$36)/12,Assumptions!$B$31-A117+1,-D117)-E117)))</s:f>
        <s:v>9166.63273013478</s:v>
      </s:c>
      <s:c r="I117" s="21">
        <s:f>IF(A117&gt;Assumptions!$B$31,0,IF(A117&lt;=Assumptions!$B$32,0,IF(A117=Assumptions!$B$32+1,K116+G117,H117+G117)))</s:f>
        <s:v>10018.24821657522</s:v>
      </s:c>
      <s:c r="J117" s="21">
        <s:f>D117-H117</s:f>
        <s:v>67097.4406824421</s:v>
      </s:c>
      <s:c r="K117" s="21">
        <s:f>IF(A117&lt;=Assumptions!$B$32,K116+G117,0)</s:f>
        <s:v>0.0</s:v>
      </s:c>
    </s:row>
    <s:row r="118">
      <s:c r="A118" s="64" t="n">
        <s:v>114</s:v>
      </s:c>
      <s:c r="B118" s="65">
        <s:f>EDATE(DATE(2026,6,17),A118)</s:f>
        <s:v>49660.0</s:v>
      </s:c>
      <s:c r="C118" s="64">
        <s:f>INT((A118-1)/12)+1</s:f>
        <s:v>10.0</s:v>
      </s:c>
      <s:c r="D118" s="21">
        <s:f>J117</s:f>
        <s:v>67097.4406824421</s:v>
      </s:c>
      <s:c r="E118" s="21">
        <s:f>IF(A118&gt;Assumptions!$B$31,0,D118*IF(A118&lt;Assumptions!$B$37,Assumptions!$B$30,Assumptions!$B$36)/12)</s:f>
        <s:v>749.2547542872702</s:v>
      </s:c>
      <s:c r="F118" s="21">
        <s:f>IF(A118&gt;Assumptions!$B$35,0,MIN(E118,D118*Assumptions!$B$34/12))</s:f>
        <s:v>0.0</s:v>
      </s:c>
      <s:c r="G118" s="21">
        <s:f>E118-F118</s:f>
        <s:v>749.2547542872702</s:v>
      </s:c>
      <s:c r="H118" s="21">
        <s:f>IF(A118&gt;Assumptions!$B$31,0,IF(A118&lt;=Assumptions!$B$32+1,0,MIN(D118,PMT(IF(A118&lt;Assumptions!$B$37,Assumptions!$B$30,Assumptions!$B$36)/12,Assumptions!$B$31-A118+1,-D118)-E118)))</s:f>
        <s:v>9268.99346228796</s:v>
      </s:c>
      <s:c r="I118" s="21">
        <s:f>IF(A118&gt;Assumptions!$B$31,0,IF(A118&lt;=Assumptions!$B$32,0,IF(A118=Assumptions!$B$32+1,K117+G118,H118+G118)))</s:f>
        <s:v>10018.24821657523</s:v>
      </s:c>
      <s:c r="J118" s="21">
        <s:f>D118-H118</s:f>
        <s:v>57828.44722015414</s:v>
      </s:c>
      <s:c r="K118" s="21">
        <s:f>IF(A118&lt;=Assumptions!$B$32,K117+G118,0)</s:f>
        <s:v>0.0</s:v>
      </s:c>
    </s:row>
    <s:row r="119">
      <s:c r="A119" s="64" t="n">
        <s:v>115</s:v>
      </s:c>
      <s:c r="B119" s="65">
        <s:f>EDATE(DATE(2026,6,17),A119)</s:f>
        <s:v>49691.0</s:v>
      </s:c>
      <s:c r="C119" s="64">
        <s:f>INT((A119-1)/12)+1</s:f>
        <s:v>10.0</s:v>
      </s:c>
      <s:c r="D119" s="21">
        <s:f>J118</s:f>
        <s:v>57828.44722015414</s:v>
      </s:c>
      <s:c r="E119" s="21">
        <s:f>IF(A119&gt;Assumptions!$B$31,0,D119*IF(A119&lt;Assumptions!$B$37,Assumptions!$B$30,Assumptions!$B$36)/12)</s:f>
        <s:v>645.750993958388</s:v>
      </s:c>
      <s:c r="F119" s="21">
        <s:f>IF(A119&gt;Assumptions!$B$35,0,MIN(E119,D119*Assumptions!$B$34/12))</s:f>
        <s:v>0.0</s:v>
      </s:c>
      <s:c r="G119" s="21">
        <s:f>E119-F119</s:f>
        <s:v>645.750993958388</s:v>
      </s:c>
      <s:c r="H119" s="21">
        <s:f>IF(A119&gt;Assumptions!$B$31,0,IF(A119&lt;=Assumptions!$B$32+1,0,MIN(D119,PMT(IF(A119&lt;Assumptions!$B$37,Assumptions!$B$30,Assumptions!$B$36)/12,Assumptions!$B$31-A119+1,-D119)-E119)))</s:f>
        <s:v>9372.497222616865</s:v>
      </s:c>
      <s:c r="I119" s="21">
        <s:f>IF(A119&gt;Assumptions!$B$31,0,IF(A119&lt;=Assumptions!$B$32,0,IF(A119=Assumptions!$B$32+1,K118+G119,H119+G119)))</s:f>
        <s:v>10018.248216575254</s:v>
      </s:c>
      <s:c r="J119" s="21">
        <s:f>D119-H119</s:f>
        <s:v>48455.949997537275</s:v>
      </s:c>
      <s:c r="K119" s="21">
        <s:f>IF(A119&lt;=Assumptions!$B$32,K118+G119,0)</s:f>
        <s:v>0.0</s:v>
      </s:c>
    </s:row>
    <s:row r="120">
      <s:c r="A120" s="64" t="n">
        <s:v>116</s:v>
      </s:c>
      <s:c r="B120" s="65">
        <s:f>EDATE(DATE(2026,6,17),A120)</s:f>
        <s:v>49722.0</s:v>
      </s:c>
      <s:c r="C120" s="64">
        <s:f>INT((A120-1)/12)+1</s:f>
        <s:v>10.0</s:v>
      </s:c>
      <s:c r="D120" s="21">
        <s:f>J119</s:f>
        <s:v>48455.949997537275</s:v>
      </s:c>
      <s:c r="E120" s="21">
        <s:f>IF(A120&gt;Assumptions!$B$31,0,D120*IF(A120&lt;Assumptions!$B$37,Assumptions!$B$30,Assumptions!$B$36)/12)</s:f>
        <s:v>541.0914416391662</s:v>
      </s:c>
      <s:c r="F120" s="21">
        <s:f>IF(A120&gt;Assumptions!$B$35,0,MIN(E120,D120*Assumptions!$B$34/12))</s:f>
        <s:v>0.0</s:v>
      </s:c>
      <s:c r="G120" s="21">
        <s:f>E120-F120</s:f>
        <s:v>541.0914416391662</s:v>
      </s:c>
      <s:c r="H120" s="21">
        <s:f>IF(A120&gt;Assumptions!$B$31,0,IF(A120&lt;=Assumptions!$B$32+1,0,MIN(D120,PMT(IF(A120&lt;Assumptions!$B$37,Assumptions!$B$30,Assumptions!$B$36)/12,Assumptions!$B$31-A120+1,-D120)-E120)))</s:f>
        <s:v>9477.15677493611</s:v>
      </s:c>
      <s:c r="I120" s="21">
        <s:f>IF(A120&gt;Assumptions!$B$31,0,IF(A120&lt;=Assumptions!$B$32,0,IF(A120=Assumptions!$B$32+1,K119+G120,H120+G120)))</s:f>
        <s:v>10018.248216575275</s:v>
      </s:c>
      <s:c r="J120" s="21">
        <s:f>D120-H120</s:f>
        <s:v>38978.79322260116</s:v>
      </s:c>
      <s:c r="K120" s="21">
        <s:f>IF(A120&lt;=Assumptions!$B$32,K119+G120,0)</s:f>
        <s:v>0.0</s:v>
      </s:c>
    </s:row>
    <s:row r="121">
      <s:c r="A121" s="64" t="n">
        <s:v>117</s:v>
      </s:c>
      <s:c r="B121" s="65">
        <s:f>EDATE(DATE(2026,6,17),A121)</s:f>
        <s:v>49751.0</s:v>
      </s:c>
      <s:c r="C121" s="64">
        <s:f>INT((A121-1)/12)+1</s:f>
        <s:v>10.0</s:v>
      </s:c>
      <s:c r="D121" s="21">
        <s:f>J120</s:f>
        <s:v>38978.79322260116</s:v>
      </s:c>
      <s:c r="E121" s="21">
        <s:f>IF(A121&gt;Assumptions!$B$31,0,D121*IF(A121&lt;Assumptions!$B$37,Assumptions!$B$30,Assumptions!$B$36)/12)</s:f>
        <s:v>435.263190985713</s:v>
      </s:c>
      <s:c r="F121" s="21">
        <s:f>IF(A121&gt;Assumptions!$B$35,0,MIN(E121,D121*Assumptions!$B$34/12))</s:f>
        <s:v>0.0</s:v>
      </s:c>
      <s:c r="G121" s="21">
        <s:f>E121-F121</s:f>
        <s:v>435.263190985713</s:v>
      </s:c>
      <s:c r="H121" s="21">
        <s:f>IF(A121&gt;Assumptions!$B$31,0,IF(A121&lt;=Assumptions!$B$32+1,0,MIN(D121,PMT(IF(A121&lt;Assumptions!$B$37,Assumptions!$B$30,Assumptions!$B$36)/12,Assumptions!$B$31-A121+1,-D121)-E121)))</s:f>
        <s:v>9582.985025589596</s:v>
      </s:c>
      <s:c r="I121" s="21">
        <s:f>IF(A121&gt;Assumptions!$B$31,0,IF(A121&lt;=Assumptions!$B$32,0,IF(A121=Assumptions!$B$32+1,K120+G121,H121+G121)))</s:f>
        <s:v>10018.24821657531</s:v>
      </s:c>
      <s:c r="J121" s="21">
        <s:f>D121-H121</s:f>
        <s:v>29395.808197011567</s:v>
      </s:c>
      <s:c r="K121" s="21">
        <s:f>IF(A121&lt;=Assumptions!$B$32,K120+G121,0)</s:f>
        <s:v>0.0</s:v>
      </s:c>
    </s:row>
    <s:row r="122">
      <s:c r="A122" s="64" t="n">
        <s:v>118</s:v>
      </s:c>
      <s:c r="B122" s="65">
        <s:f>EDATE(DATE(2026,6,17),A122)</s:f>
        <s:v>49782.0</s:v>
      </s:c>
      <s:c r="C122" s="64">
        <s:f>INT((A122-1)/12)+1</s:f>
        <s:v>10.0</s:v>
      </s:c>
      <s:c r="D122" s="21">
        <s:f>J121</s:f>
        <s:v>29395.808197011567</s:v>
      </s:c>
      <s:c r="E122" s="21">
        <s:f>IF(A122&gt;Assumptions!$B$31,0,D122*IF(A122&lt;Assumptions!$B$37,Assumptions!$B$30,Assumptions!$B$36)/12)</s:f>
        <s:v>328.2531915332958</s:v>
      </s:c>
      <s:c r="F122" s="21">
        <s:f>IF(A122&gt;Assumptions!$B$35,0,MIN(E122,D122*Assumptions!$B$34/12))</s:f>
        <s:v>0.0</s:v>
      </s:c>
      <s:c r="G122" s="21">
        <s:f>E122-F122</s:f>
        <s:v>328.2531915332958</s:v>
      </s:c>
      <s:c r="H122" s="21">
        <s:f>IF(A122&gt;Assumptions!$B$31,0,IF(A122&lt;=Assumptions!$B$32+1,0,MIN(D122,PMT(IF(A122&lt;Assumptions!$B$37,Assumptions!$B$30,Assumptions!$B$36)/12,Assumptions!$B$31-A122+1,-D122)-E122)))</s:f>
        <s:v>9689.995025042002</s:v>
      </s:c>
      <s:c r="I122" s="21">
        <s:f>IF(A122&gt;Assumptions!$B$31,0,IF(A122&lt;=Assumptions!$B$32,0,IF(A122=Assumptions!$B$32+1,K121+G122,H122+G122)))</s:f>
        <s:v>10018.248216575299</s:v>
      </s:c>
      <s:c r="J122" s="21">
        <s:f>D122-H122</s:f>
        <s:v>19705.813171969567</s:v>
      </s:c>
      <s:c r="K122" s="21">
        <s:f>IF(A122&lt;=Assumptions!$B$32,K121+G122,0)</s:f>
        <s:v>0.0</s:v>
      </s:c>
    </s:row>
    <s:row r="123">
      <s:c r="A123" s="64" t="n">
        <s:v>119</s:v>
      </s:c>
      <s:c r="B123" s="65">
        <s:f>EDATE(DATE(2026,6,17),A123)</s:f>
        <s:v>49812.0</s:v>
      </s:c>
      <s:c r="C123" s="64">
        <s:f>INT((A123-1)/12)+1</s:f>
        <s:v>10.0</s:v>
      </s:c>
      <s:c r="D123" s="21">
        <s:f>J122</s:f>
        <s:v>19705.813171969567</s:v>
      </s:c>
      <s:c r="E123" s="21">
        <s:f>IF(A123&gt;Assumptions!$B$31,0,D123*IF(A123&lt;Assumptions!$B$37,Assumptions!$B$30,Assumptions!$B$36)/12)</s:f>
        <s:v>220.04824708699348</s:v>
      </s:c>
      <s:c r="F123" s="21">
        <s:f>IF(A123&gt;Assumptions!$B$35,0,MIN(E123,D123*Assumptions!$B$34/12))</s:f>
        <s:v>0.0</s:v>
      </s:c>
      <s:c r="G123" s="21">
        <s:f>E123-F123</s:f>
        <s:v>220.04824708699348</s:v>
      </s:c>
      <s:c r="H123" s="21">
        <s:f>IF(A123&gt;Assumptions!$B$31,0,IF(A123&lt;=Assumptions!$B$32+1,0,MIN(D123,PMT(IF(A123&lt;Assumptions!$B$37,Assumptions!$B$30,Assumptions!$B$36)/12,Assumptions!$B$31-A123+1,-D123)-E123)))</s:f>
        <s:v>9798.199969488398</s:v>
      </s:c>
      <s:c r="I123" s="21">
        <s:f>IF(A123&gt;Assumptions!$B$31,0,IF(A123&lt;=Assumptions!$B$32,0,IF(A123=Assumptions!$B$32+1,K122+G123,H123+G123)))</s:f>
        <s:v>10018.248216575392</s:v>
      </s:c>
      <s:c r="J123" s="21">
        <s:f>D123-H123</s:f>
        <s:v>9907.613202481169</s:v>
      </s:c>
      <s:c r="K123" s="21">
        <s:f>IF(A123&lt;=Assumptions!$B$32,K122+G123,0)</s:f>
        <s:v>0.0</s:v>
      </s:c>
    </s:row>
    <s:row r="124">
      <s:c r="A124" s="64" t="n">
        <s:v>120</s:v>
      </s:c>
      <s:c r="B124" s="65">
        <s:f>EDATE(DATE(2026,6,17),A124)</s:f>
        <s:v>49843.0</s:v>
      </s:c>
      <s:c r="C124" s="64">
        <s:f>INT((A124-1)/12)+1</s:f>
        <s:v>10.0</s:v>
      </s:c>
      <s:c r="D124" s="21">
        <s:f>J123</s:f>
        <s:v>9907.613202481169</s:v>
      </s:c>
      <s:c r="E124" s="21">
        <s:f>IF(A124&gt;Assumptions!$B$31,0,D124*IF(A124&lt;Assumptions!$B$37,Assumptions!$B$30,Assumptions!$B$36)/12)</s:f>
        <s:v>110.63501409437305</s:v>
      </s:c>
      <s:c r="F124" s="21">
        <s:f>IF(A124&gt;Assumptions!$B$35,0,MIN(E124,D124*Assumptions!$B$34/12))</s:f>
        <s:v>0.0</s:v>
      </s:c>
      <s:c r="G124" s="21">
        <s:f>E124-F124</s:f>
        <s:v>110.63501409437305</s:v>
      </s:c>
      <s:c r="H124" s="21">
        <s:f>IF(A124&gt;Assumptions!$B$31,0,IF(A124&lt;=Assumptions!$B$32+1,0,MIN(D124,PMT(IF(A124&lt;Assumptions!$B$37,Assumptions!$B$30,Assumptions!$B$36)/12,Assumptions!$B$31-A124+1,-D124)-E124)))</s:f>
        <s:v>9907.61320248108</s:v>
      </s:c>
      <s:c r="I124" s="21">
        <s:f>IF(A124&gt;Assumptions!$B$31,0,IF(A124&lt;=Assumptions!$B$32,0,IF(A124=Assumptions!$B$32+1,K123+G124,H124+G124)))</s:f>
        <s:v>10018.248216575452</s:v>
      </s:c>
      <s:c r="J124" s="21">
        <s:f>D124-H124</s:f>
        <s:v>8.913048077374697e-11</s:v>
      </s:c>
      <s:c r="K124" s="21">
        <s:f>IF(A124&lt;=Assumptions!$B$32,K123+G124,0)</s:f>
        <s:v>0.0</s:v>
      </s:c>
    </s:row>
    <s:row r="125">
      <s:c r="A125" s="26" t="inlineStr">
        <s:is>
          <s:t>სულ / TOTAL</s:t>
        </s:is>
      </s:c>
      <s:c r="B125" s="29" t="inlineStr"/>
      <s:c r="C125" s="29" t="inlineStr"/>
      <s:c r="D125" s="29" t="inlineStr"/>
      <s:c r="E125" s="27">
        <s:f>SUM(E5:E124)</s:f>
        <s:v>530014.137766147</s:v>
      </s:c>
      <s:c r="F125" s="27">
        <s:f>SUM(F5:F124)</s:f>
        <s:v>255762.68494795146</s:v>
      </s:c>
      <s:c r="G125" s="27">
        <s:f>SUM(G5:G124)</s:f>
        <s:v>274251.4528181956</s:v>
      </s:c>
      <s:c r="H125" s="27">
        <s:f>SUM(H5:H124)</s:f>
        <s:v>625000.0000000002</s:v>
      </s:c>
      <s:c r="I125" s="27">
        <s:f>SUM(I5:I124)</s:f>
        <s:v>899251.452818196</s:v>
      </s:c>
      <s:c r="J125" s="29" t="inlineStr"/>
      <s:c r="K125" s="29" t="inlineStr"/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1:N50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50" customWidth="1" min="1" max="1"/>
    <s:col width="11.5" customWidth="1" min="2" max="2"/>
    <s:col width="11.5" customWidth="1" min="3" max="3"/>
    <s:col width="11.5" customWidth="1" min="4" max="4"/>
    <s:col width="11.5" customWidth="1" min="5" max="5"/>
    <s:col width="11.5" customWidth="1" min="6" max="6"/>
    <s:col width="11.5" customWidth="1" min="7" max="7"/>
    <s:col width="11.5" customWidth="1" min="8" max="8"/>
    <s:col width="11.5" customWidth="1" min="9" max="9"/>
    <s:col width="11.5" customWidth="1" min="10" max="10"/>
    <s:col width="11.5" customWidth="1" min="11" max="11"/>
    <s:col width="11.5" customWidth="1" min="12" max="12"/>
    <s:col width="11.5" customWidth="1" min="13" max="13"/>
    <s:col width="14" customWidth="1" min="14" max="14"/>
  </s:cols>
  <s:sheetData>
    <s:row r="1">
      <s:c r="A1" s="1" t="inlineStr">
        <s:is>
          <s:t>ფულადი ნაკადი — წელი 1 / CASH FLOW — YEAR 1</s:t>
        </s:is>
      </s:c>
    </s:row>
    <s:row r="2">
      <s:c r="A2" s="2" t="inlineStr">
        <s:is>
          <s:t>ყველა თანხა GEL-ში / All amounts in GEL</s:t>
        </s:is>
      </s:c>
    </s:row>
    <s:row r="4">
      <s:c r="A4" s="62" t="inlineStr">
        <s:is>
          <s:t>მაჩვენებელი / Item</s:t>
        </s:is>
      </s:c>
      <s:c r="B4" s="12" t="inlineStr">
        <s:is>
          <s:t>Jan / იან</s:t>
        </s:is>
      </s:c>
      <s:c r="C4" s="12" t="inlineStr">
        <s:is>
          <s:t>Feb / თებ</s:t>
        </s:is>
      </s:c>
      <s:c r="D4" s="12" t="inlineStr">
        <s:is>
          <s:t>Mar / მარ</s:t>
        </s:is>
      </s:c>
      <s:c r="E4" s="12" t="inlineStr">
        <s:is>
          <s:t>Apr / აპრ</s:t>
        </s:is>
      </s:c>
      <s:c r="F4" s="12" t="inlineStr">
        <s:is>
          <s:t>May / მაი</s:t>
        </s:is>
      </s:c>
      <s:c r="G4" s="12" t="inlineStr">
        <s:is>
          <s:t>Jun / ივნ</s:t>
        </s:is>
      </s:c>
      <s:c r="H4" s="12" t="inlineStr">
        <s:is>
          <s:t>Jul / ივლ</s:t>
        </s:is>
      </s:c>
      <s:c r="I4" s="12" t="inlineStr">
        <s:is>
          <s:t>Aug / აგვ</s:t>
        </s:is>
      </s:c>
      <s:c r="J4" s="12" t="inlineStr">
        <s:is>
          <s:t>Sep / სექ</s:t>
        </s:is>
      </s:c>
      <s:c r="K4" s="12" t="inlineStr">
        <s:is>
          <s:t>Oct / ოქტ</s:t>
        </s:is>
      </s:c>
      <s:c r="L4" s="12" t="inlineStr">
        <s:is>
          <s:t>Nov / ნოე</s:t>
        </s:is>
      </s:c>
      <s:c r="M4" s="12" t="inlineStr">
        <s:is>
          <s:t>Dec / დეკ</s:t>
        </s:is>
      </s:c>
      <s:c r="N4" s="12" t="inlineStr">
        <s:is>
          <s:t>სულ / TOTAL</s:t>
        </s:is>
      </s:c>
    </s:row>
    <s:row r="6">
      <s:c r="A6" s="10" t="inlineStr">
        <s:is>
          <s:t>გაყიდვების სეზონურობა / SALES SEASONALITY (edit the blue cells; each row must total 100%)</s:t>
        </s:is>
      </s:c>
      <s:c r="B6" s="11" t="n"/>
      <s:c r="C6" s="11" t="n"/>
      <s:c r="D6" s="11" t="n"/>
      <s:c r="E6" s="11" t="n"/>
      <s:c r="F6" s="11" t="n"/>
      <s:c r="G6" s="11" t="n"/>
      <s:c r="H6" s="11" t="n"/>
      <s:c r="I6" s="11" t="n"/>
      <s:c r="J6" s="11" t="n"/>
      <s:c r="K6" s="11" t="n"/>
      <s:c r="L6" s="11" t="n"/>
      <s:c r="M6" s="11" t="n"/>
      <s:c r="N6" s="11" t="n"/>
    </s:row>
    <s:row r="7">
      <s:c r="A7" s="66" t="inlineStr">
        <s:is>
          <s:t>ზამთრის მოსავლის რეალიზაცია / Winter crop sold (%)</s:t>
        </s:is>
      </s:c>
      <s:c r="B7" s="63" t="n">
        <s:v>0.2</s:v>
      </s:c>
      <s:c r="C7" s="63" t="n">
        <s:v>0.25</s:v>
      </s:c>
      <s:c r="D7" s="63" t="n">
        <s:v>0.25</s:v>
      </s:c>
      <s:c r="E7" s="63" t="n">
        <s:v>0.15</s:v>
      </s:c>
      <s:c r="F7" s="63" t="n">
        <s:v>0</s:v>
      </s:c>
      <s:c r="G7" s="63" t="n">
        <s:v>0</s:v>
      </s:c>
      <s:c r="H7" s="63" t="n">
        <s:v>0</s:v>
      </s:c>
      <s:c r="I7" s="63" t="n">
        <s:v>0</s:v>
      </s:c>
      <s:c r="J7" s="63" t="n">
        <s:v>0</s:v>
      </s:c>
      <s:c r="K7" s="63" t="n">
        <s:v>0</s:v>
      </s:c>
      <s:c r="L7" s="63" t="n">
        <s:v>0</s:v>
      </s:c>
      <s:c r="M7" s="63" t="n">
        <s:v>0.15</s:v>
      </s:c>
      <s:c r="N7" s="19">
        <s:f>SUM(B7:M7)</s:f>
        <s:v>1.0</s:v>
      </s:c>
    </s:row>
    <s:row r="8">
      <s:c r="A8" s="66" t="inlineStr">
        <s:is>
          <s:t>ზაფხულის მოსავლის რეალიზაცია / Summer crop sold (%)</s:t>
        </s:is>
      </s:c>
      <s:c r="B8" s="63" t="n">
        <s:v>0</s:v>
      </s:c>
      <s:c r="C8" s="63" t="n">
        <s:v>0</s:v>
      </s:c>
      <s:c r="D8" s="63" t="n">
        <s:v>0</s:v>
      </s:c>
      <s:c r="E8" s="63" t="n">
        <s:v>0</s:v>
      </s:c>
      <s:c r="F8" s="63" t="n">
        <s:v>0</s:v>
      </s:c>
      <s:c r="G8" s="63" t="n">
        <s:v>0.2</s:v>
      </s:c>
      <s:c r="H8" s="63" t="n">
        <s:v>0.3</s:v>
      </s:c>
      <s:c r="I8" s="63" t="n">
        <s:v>0.3</s:v>
      </s:c>
      <s:c r="J8" s="63" t="n">
        <s:v>0.2</s:v>
      </s:c>
      <s:c r="K8" s="63" t="n">
        <s:v>0</s:v>
      </s:c>
      <s:c r="L8" s="63" t="n">
        <s:v>0</s:v>
      </s:c>
      <s:c r="M8" s="63" t="n">
        <s:v>0</s:v>
      </s:c>
      <s:c r="N8" s="19">
        <s:f>SUM(B8:M8)</s:f>
        <s:v>1.0</s:v>
      </s:c>
    </s:row>
    <s:row r="10">
      <s:c r="A10" s="10" t="inlineStr">
        <s:is>
          <s:t>მოცულობა / VOLUME (kg)</s:t>
        </s:is>
      </s:c>
      <s:c r="B10" s="11" t="n"/>
      <s:c r="C10" s="11" t="n"/>
      <s:c r="D10" s="11" t="n"/>
      <s:c r="E10" s="11" t="n"/>
      <s:c r="F10" s="11" t="n"/>
      <s:c r="G10" s="11" t="n"/>
      <s:c r="H10" s="11" t="n"/>
      <s:c r="I10" s="11" t="n"/>
      <s:c r="J10" s="11" t="n"/>
      <s:c r="K10" s="11" t="n"/>
      <s:c r="L10" s="11" t="n"/>
      <s:c r="M10" s="11" t="n"/>
      <s:c r="N10" s="11" t="n"/>
    </s:row>
    <s:row r="11">
      <s:c r="A11" s="20" t="inlineStr">
        <s:is>
          <s:t>ზამთრის მოსავალი / Winter crop</s:t>
        </s:is>
      </s:c>
      <s:c r="B11" s="21">
        <s:f>Assumptions!$B$11*B7</s:f>
        <s:v>17000.0</s:v>
      </s:c>
      <s:c r="C11" s="21">
        <s:f>Assumptions!$B$11*C7</s:f>
        <s:v>21250.0</s:v>
      </s:c>
      <s:c r="D11" s="21">
        <s:f>Assumptions!$B$11*D7</s:f>
        <s:v>21250.0</s:v>
      </s:c>
      <s:c r="E11" s="21">
        <s:f>Assumptions!$B$11*E7</s:f>
        <s:v>12750.0</s:v>
      </s:c>
      <s:c r="F11" s="21">
        <s:f>Assumptions!$B$11*F7</s:f>
        <s:v>0.0</s:v>
      </s:c>
      <s:c r="G11" s="21">
        <s:f>Assumptions!$B$11*G7</s:f>
        <s:v>0.0</s:v>
      </s:c>
      <s:c r="H11" s="21">
        <s:f>Assumptions!$B$11*H7</s:f>
        <s:v>0.0</s:v>
      </s:c>
      <s:c r="I11" s="21">
        <s:f>Assumptions!$B$11*I7</s:f>
        <s:v>0.0</s:v>
      </s:c>
      <s:c r="J11" s="21">
        <s:f>Assumptions!$B$11*J7</s:f>
        <s:v>0.0</s:v>
      </s:c>
      <s:c r="K11" s="21">
        <s:f>Assumptions!$B$11*K7</s:f>
        <s:v>0.0</s:v>
      </s:c>
      <s:c r="L11" s="21">
        <s:f>Assumptions!$B$11*L7</s:f>
        <s:v>0.0</s:v>
      </s:c>
      <s:c r="M11" s="21">
        <s:f>Assumptions!$B$11*M7</s:f>
        <s:v>12750.0</s:v>
      </s:c>
      <s:c r="N11" s="18">
        <s:f>SUM(B11:M11)</s:f>
        <s:v>85000.0</s:v>
      </s:c>
    </s:row>
    <s:row r="12">
      <s:c r="A12" s="20" t="inlineStr">
        <s:is>
          <s:t>ზაფხულის მოსავალი / Summer crop</s:t>
        </s:is>
      </s:c>
      <s:c r="B12" s="21">
        <s:f>Assumptions!$B$15*B8</s:f>
        <s:v>0.0</s:v>
      </s:c>
      <s:c r="C12" s="21">
        <s:f>Assumptions!$B$15*C8</s:f>
        <s:v>0.0</s:v>
      </s:c>
      <s:c r="D12" s="21">
        <s:f>Assumptions!$B$15*D8</s:f>
        <s:v>0.0</s:v>
      </s:c>
      <s:c r="E12" s="21">
        <s:f>Assumptions!$B$15*E8</s:f>
        <s:v>0.0</s:v>
      </s:c>
      <s:c r="F12" s="21">
        <s:f>Assumptions!$B$15*F8</s:f>
        <s:v>0.0</s:v>
      </s:c>
      <s:c r="G12" s="21">
        <s:f>Assumptions!$B$15*G8</s:f>
        <s:v>14000.0</s:v>
      </s:c>
      <s:c r="H12" s="21">
        <s:f>Assumptions!$B$15*H8</s:f>
        <s:v>21000.0</s:v>
      </s:c>
      <s:c r="I12" s="21">
        <s:f>Assumptions!$B$15*I8</s:f>
        <s:v>21000.0</s:v>
      </s:c>
      <s:c r="J12" s="21">
        <s:f>Assumptions!$B$15*J8</s:f>
        <s:v>14000.0</s:v>
      </s:c>
      <s:c r="K12" s="21">
        <s:f>Assumptions!$B$15*K8</s:f>
        <s:v>0.0</s:v>
      </s:c>
      <s:c r="L12" s="21">
        <s:f>Assumptions!$B$15*L8</s:f>
        <s:v>0.0</s:v>
      </s:c>
      <s:c r="M12" s="21">
        <s:f>Assumptions!$B$15*M8</s:f>
        <s:v>0.0</s:v>
      </s:c>
      <s:c r="N12" s="18">
        <s:f>SUM(B12:M12)</s:f>
        <s:v>70000.0</s:v>
      </s:c>
    </s:row>
    <s:row r="13">
      <s:c r="A13" s="26" t="inlineStr">
        <s:is>
          <s:t>სულ გაყიდული / Total sold</s:t>
        </s:is>
      </s:c>
      <s:c r="B13" s="27">
        <s:f>SUM(B11:B12)</s:f>
        <s:v>17000.0</s:v>
      </s:c>
      <s:c r="C13" s="27">
        <s:f>SUM(C11:C12)</s:f>
        <s:v>21250.0</s:v>
      </s:c>
      <s:c r="D13" s="27">
        <s:f>SUM(D11:D12)</s:f>
        <s:v>21250.0</s:v>
      </s:c>
      <s:c r="E13" s="27">
        <s:f>SUM(E11:E12)</s:f>
        <s:v>12750.0</s:v>
      </s:c>
      <s:c r="F13" s="27">
        <s:f>SUM(F11:F12)</s:f>
        <s:v>0.0</s:v>
      </s:c>
      <s:c r="G13" s="27">
        <s:f>SUM(G11:G12)</s:f>
        <s:v>14000.0</s:v>
      </s:c>
      <s:c r="H13" s="27">
        <s:f>SUM(H11:H12)</s:f>
        <s:v>21000.0</s:v>
      </s:c>
      <s:c r="I13" s="27">
        <s:f>SUM(I11:I12)</s:f>
        <s:v>21000.0</s:v>
      </s:c>
      <s:c r="J13" s="27">
        <s:f>SUM(J11:J12)</s:f>
        <s:v>14000.0</s:v>
      </s:c>
      <s:c r="K13" s="27">
        <s:f>SUM(K11:K12)</s:f>
        <s:v>0.0</s:v>
      </s:c>
      <s:c r="L13" s="27">
        <s:f>SUM(L11:L12)</s:f>
        <s:v>0.0</s:v>
      </s:c>
      <s:c r="M13" s="27">
        <s:f>SUM(M11:M12)</s:f>
        <s:v>12750.0</s:v>
      </s:c>
      <s:c r="N13" s="27">
        <s:f>SUM(B13:M13)</s:f>
        <s:v>155000.0</s:v>
      </s:c>
    </s:row>
    <s:row r="15">
      <s:c r="A15" s="10" t="inlineStr">
        <s:is>
          <s:t>შემოსავალი / REVENUE (GEL)</s:t>
        </s:is>
      </s:c>
      <s:c r="B15" s="11" t="n"/>
      <s:c r="C15" s="11" t="n"/>
      <s:c r="D15" s="11" t="n"/>
      <s:c r="E15" s="11" t="n"/>
      <s:c r="F15" s="11" t="n"/>
      <s:c r="G15" s="11" t="n"/>
      <s:c r="H15" s="11" t="n"/>
      <s:c r="I15" s="11" t="n"/>
      <s:c r="J15" s="11" t="n"/>
      <s:c r="K15" s="11" t="n"/>
      <s:c r="L15" s="11" t="n"/>
      <s:c r="M15" s="11" t="n"/>
      <s:c r="N15" s="11" t="n"/>
    </s:row>
    <s:row r="16">
      <s:c r="A16" s="20" t="inlineStr">
        <s:is>
          <s:t>ზამთრის შემოსავალი / Winter revenue</s:t>
        </s:is>
      </s:c>
      <s:c r="B16" s="21">
        <s:f>B11*Assumptions!$B$13</s:f>
        <s:v>76500.0</s:v>
      </s:c>
      <s:c r="C16" s="21">
        <s:f>C11*Assumptions!$B$13</s:f>
        <s:v>95625.0</s:v>
      </s:c>
      <s:c r="D16" s="21">
        <s:f>D11*Assumptions!$B$13</s:f>
        <s:v>95625.0</s:v>
      </s:c>
      <s:c r="E16" s="21">
        <s:f>E11*Assumptions!$B$13</s:f>
        <s:v>57375.0</s:v>
      </s:c>
      <s:c r="F16" s="21">
        <s:f>F11*Assumptions!$B$13</s:f>
        <s:v>0.0</s:v>
      </s:c>
      <s:c r="G16" s="21">
        <s:f>G11*Assumptions!$B$13</s:f>
        <s:v>0.0</s:v>
      </s:c>
      <s:c r="H16" s="21">
        <s:f>H11*Assumptions!$B$13</s:f>
        <s:v>0.0</s:v>
      </s:c>
      <s:c r="I16" s="21">
        <s:f>I11*Assumptions!$B$13</s:f>
        <s:v>0.0</s:v>
      </s:c>
      <s:c r="J16" s="21">
        <s:f>J11*Assumptions!$B$13</s:f>
        <s:v>0.0</s:v>
      </s:c>
      <s:c r="K16" s="21">
        <s:f>K11*Assumptions!$B$13</s:f>
        <s:v>0.0</s:v>
      </s:c>
      <s:c r="L16" s="21">
        <s:f>L11*Assumptions!$B$13</s:f>
        <s:v>0.0</s:v>
      </s:c>
      <s:c r="M16" s="21">
        <s:f>M11*Assumptions!$B$13</s:f>
        <s:v>57375.0</s:v>
      </s:c>
      <s:c r="N16" s="18">
        <s:f>SUM(B16:M16)</s:f>
        <s:v>382500.0</s:v>
      </s:c>
    </s:row>
    <s:row r="17">
      <s:c r="A17" s="20" t="inlineStr">
        <s:is>
          <s:t>ზაფხულის შემოსავალი / Summer revenue</s:t>
        </s:is>
      </s:c>
      <s:c r="B17" s="21">
        <s:f>B12*Assumptions!$B$17</s:f>
        <s:v>0.0</s:v>
      </s:c>
      <s:c r="C17" s="21">
        <s:f>C12*Assumptions!$B$17</s:f>
        <s:v>0.0</s:v>
      </s:c>
      <s:c r="D17" s="21">
        <s:f>D12*Assumptions!$B$17</s:f>
        <s:v>0.0</s:v>
      </s:c>
      <s:c r="E17" s="21">
        <s:f>E12*Assumptions!$B$17</s:f>
        <s:v>0.0</s:v>
      </s:c>
      <s:c r="F17" s="21">
        <s:f>F12*Assumptions!$B$17</s:f>
        <s:v>0.0</s:v>
      </s:c>
      <s:c r="G17" s="21">
        <s:f>G12*Assumptions!$B$17</s:f>
        <s:v>42000.0</s:v>
      </s:c>
      <s:c r="H17" s="21">
        <s:f>H12*Assumptions!$B$17</s:f>
        <s:v>63000.0</s:v>
      </s:c>
      <s:c r="I17" s="21">
        <s:f>I12*Assumptions!$B$17</s:f>
        <s:v>63000.0</s:v>
      </s:c>
      <s:c r="J17" s="21">
        <s:f>J12*Assumptions!$B$17</s:f>
        <s:v>42000.0</s:v>
      </s:c>
      <s:c r="K17" s="21">
        <s:f>K12*Assumptions!$B$17</s:f>
        <s:v>0.0</s:v>
      </s:c>
      <s:c r="L17" s="21">
        <s:f>L12*Assumptions!$B$17</s:f>
        <s:v>0.0</s:v>
      </s:c>
      <s:c r="M17" s="21">
        <s:f>M12*Assumptions!$B$17</s:f>
        <s:v>0.0</s:v>
      </s:c>
      <s:c r="N17" s="18">
        <s:f>SUM(B17:M17)</s:f>
        <s:v>210000.0</s:v>
      </s:c>
    </s:row>
    <s:row r="18">
      <s:c r="A18" s="20" t="inlineStr">
        <s:is>
          <s:t>საშუალო ფასი / Realised price</s:t>
        </s:is>
      </s:c>
      <s:c r="B18" s="33">
        <s:f>IFERROR(B19/B13,0)</s:f>
        <s:v>4.5</s:v>
      </s:c>
      <s:c r="C18" s="33">
        <s:f>IFERROR(C19/C13,0)</s:f>
        <s:v>4.5</s:v>
      </s:c>
      <s:c r="D18" s="33">
        <s:f>IFERROR(D19/D13,0)</s:f>
        <s:v>4.5</s:v>
      </s:c>
      <s:c r="E18" s="33">
        <s:f>IFERROR(E19/E13,0)</s:f>
        <s:v>4.5</s:v>
      </s:c>
      <s:c r="F18" s="33">
        <s:f>IFERROR(F19/F13,0)</s:f>
        <s:v>0.0</s:v>
      </s:c>
      <s:c r="G18" s="33">
        <s:f>IFERROR(G19/G13,0)</s:f>
        <s:v>3.0</s:v>
      </s:c>
      <s:c r="H18" s="33">
        <s:f>IFERROR(H19/H13,0)</s:f>
        <s:v>3.0</s:v>
      </s:c>
      <s:c r="I18" s="33">
        <s:f>IFERROR(I19/I13,0)</s:f>
        <s:v>3.0</s:v>
      </s:c>
      <s:c r="J18" s="33">
        <s:f>IFERROR(J19/J13,0)</s:f>
        <s:v>3.0</s:v>
      </s:c>
      <s:c r="K18" s="33">
        <s:f>IFERROR(K19/K13,0)</s:f>
        <s:v>0.0</s:v>
      </s:c>
      <s:c r="L18" s="33">
        <s:f>IFERROR(L19/L13,0)</s:f>
        <s:v>0.0</s:v>
      </s:c>
      <s:c r="M18" s="33">
        <s:f>IFERROR(M19/M13,0)</s:f>
        <s:v>4.5</s:v>
      </s:c>
      <s:c r="N18" s="41">
        <s:f>IFERROR(AVERAGE(B18:M18),0)</s:f>
        <s:v>2.875</s:v>
      </s:c>
    </s:row>
    <s:row r="19">
      <s:c r="A19" s="26" t="inlineStr">
        <s:is>
          <s:t>სულ შემოსავალი / TOTAL REVENUE</s:t>
        </s:is>
      </s:c>
      <s:c r="B19" s="27">
        <s:f>SUM(B16:B17)</s:f>
        <s:v>76500.0</s:v>
      </s:c>
      <s:c r="C19" s="27">
        <s:f>SUM(C16:C17)</s:f>
        <s:v>95625.0</s:v>
      </s:c>
      <s:c r="D19" s="27">
        <s:f>SUM(D16:D17)</s:f>
        <s:v>95625.0</s:v>
      </s:c>
      <s:c r="E19" s="27">
        <s:f>SUM(E16:E17)</s:f>
        <s:v>57375.0</s:v>
      </s:c>
      <s:c r="F19" s="27">
        <s:f>SUM(F16:F17)</s:f>
        <s:v>0.0</s:v>
      </s:c>
      <s:c r="G19" s="27">
        <s:f>SUM(G16:G17)</s:f>
        <s:v>42000.0</s:v>
      </s:c>
      <s:c r="H19" s="27">
        <s:f>SUM(H16:H17)</s:f>
        <s:v>63000.0</s:v>
      </s:c>
      <s:c r="I19" s="27">
        <s:f>SUM(I16:I17)</s:f>
        <s:v>63000.0</s:v>
      </s:c>
      <s:c r="J19" s="27">
        <s:f>SUM(J16:J17)</s:f>
        <s:v>42000.0</s:v>
      </s:c>
      <s:c r="K19" s="27">
        <s:f>SUM(K16:K17)</s:f>
        <s:v>0.0</s:v>
      </s:c>
      <s:c r="L19" s="27">
        <s:f>SUM(L16:L17)</s:f>
        <s:v>0.0</s:v>
      </s:c>
      <s:c r="M19" s="27">
        <s:f>SUM(M16:M17)</s:f>
        <s:v>57375.0</s:v>
      </s:c>
      <s:c r="N19" s="27">
        <s:f>SUM(B19:M19)</s:f>
        <s:v>592500.0</s:v>
      </s:c>
    </s:row>
    <s:row r="21">
      <s:c r="A21" s="10" t="inlineStr">
        <s:is>
          <s:t>საოპერაციო ხარჯი / OPERATING EXPENSES (GEL)</s:t>
        </s:is>
      </s:c>
      <s:c r="B21" s="11" t="n"/>
      <s:c r="C21" s="11" t="n"/>
      <s:c r="D21" s="11" t="n"/>
      <s:c r="E21" s="11" t="n"/>
      <s:c r="F21" s="11" t="n"/>
      <s:c r="G21" s="11" t="n"/>
      <s:c r="H21" s="11" t="n"/>
      <s:c r="I21" s="11" t="n"/>
      <s:c r="J21" s="11" t="n"/>
      <s:c r="K21" s="11" t="n"/>
      <s:c r="L21" s="11" t="n"/>
      <s:c r="M21" s="11" t="n"/>
      <s:c r="N21" s="11" t="n"/>
    </s:row>
    <s:row r="22">
      <s:c r="A22" s="67" t="inlineStr">
        <s:is>
          <s:t>ხელფასები / Labour &amp; wages</s:t>
        </s:is>
      </s:c>
      <s:c r="B22" s="52">
        <s:f>OPEX!B19</s:f>
        <s:v>4320.0</s:v>
      </s:c>
      <s:c r="C22" s="52">
        <s:f>OPEX!C19</s:f>
        <s:v>4320.0</s:v>
      </s:c>
      <s:c r="D22" s="52">
        <s:f>OPEX!D19</s:f>
        <s:v>4320.0</s:v>
      </s:c>
      <s:c r="E22" s="52">
        <s:f>OPEX!E19</s:f>
        <s:v>3840.0</s:v>
      </s:c>
      <s:c r="F22" s="52">
        <s:f>OPEX!F19</s:f>
        <s:v>3360.0000000000005</s:v>
      </s:c>
      <s:c r="G22" s="52">
        <s:f>OPEX!G19</s:f>
        <s:v>4320.0</s:v>
      </s:c>
      <s:c r="H22" s="52">
        <s:f>OPEX!H19</s:f>
        <s:v>4320.0</s:v>
      </s:c>
      <s:c r="I22" s="52">
        <s:f>OPEX!I19</s:f>
        <s:v>4320.0</s:v>
      </s:c>
      <s:c r="J22" s="52">
        <s:f>OPEX!J19</s:f>
        <s:v>3840.0</s:v>
      </s:c>
      <s:c r="K22" s="52">
        <s:f>OPEX!K19</s:f>
        <s:v>3360.0000000000005</s:v>
      </s:c>
      <s:c r="L22" s="52">
        <s:f>OPEX!L19</s:f>
        <s:v>3360.0000000000005</s:v>
      </s:c>
      <s:c r="M22" s="52">
        <s:f>OPEX!M19</s:f>
        <s:v>4320.0</s:v>
      </s:c>
      <s:c r="N22" s="18">
        <s:f>SUM(B22:M22)</s:f>
        <s:v>48000.0</s:v>
      </s:c>
    </s:row>
    <s:row r="23">
      <s:c r="A23" s="67" t="inlineStr">
        <s:is>
          <s:t>გათბობა (გაზი/საწვავი) / Heating (gas &amp; fuel)</s:t>
        </s:is>
      </s:c>
      <s:c r="B23" s="52">
        <s:f>OPEX!B20</s:f>
        <s:v>9000.0</s:v>
      </s:c>
      <s:c r="C23" s="52">
        <s:f>OPEX!C20</s:f>
        <s:v>7920.0</s:v>
      </s:c>
      <s:c r="D23" s="52">
        <s:f>OPEX!D20</s:f>
        <s:v>4680.0</s:v>
      </s:c>
      <s:c r="E23" s="52">
        <s:f>OPEX!E20</s:f>
        <s:v>1080.0</s:v>
      </s:c>
      <s:c r="F23" s="52">
        <s:f>OPEX!F20</s:f>
        <s:v>0.0</s:v>
      </s:c>
      <s:c r="G23" s="52">
        <s:f>OPEX!G20</s:f>
        <s:v>0.0</s:v>
      </s:c>
      <s:c r="H23" s="52">
        <s:f>OPEX!H20</s:f>
        <s:v>0.0</s:v>
      </s:c>
      <s:c r="I23" s="52">
        <s:f>OPEX!I20</s:f>
        <s:v>0.0</s:v>
      </s:c>
      <s:c r="J23" s="52">
        <s:f>OPEX!J20</s:f>
        <s:v>0.0</s:v>
      </s:c>
      <s:c r="K23" s="52">
        <s:f>OPEX!K20</s:f>
        <s:v>1440.0</s:v>
      </s:c>
      <s:c r="L23" s="52">
        <s:f>OPEX!L20</s:f>
        <s:v>4680.0</s:v>
      </s:c>
      <s:c r="M23" s="52">
        <s:f>OPEX!M20</s:f>
        <s:v>7200.0</s:v>
      </s:c>
      <s:c r="N23" s="18">
        <s:f>SUM(B23:M23)</s:f>
        <s:v>36000.0</s:v>
      </s:c>
    </s:row>
    <s:row r="24">
      <s:c r="A24" s="67" t="inlineStr">
        <s:is>
          <s:t>ელექტროენერგია და წყალი / Electricity &amp; water</s:t>
        </s:is>
      </s:c>
      <s:c r="B24" s="52">
        <s:f>OPEX!B21</s:f>
        <s:v>960.0</s:v>
      </s:c>
      <s:c r="C24" s="52">
        <s:f>OPEX!C21</s:f>
        <s:v>960.0</s:v>
      </s:c>
      <s:c r="D24" s="52">
        <s:f>OPEX!D21</s:f>
        <s:v>960.0</s:v>
      </s:c>
      <s:c r="E24" s="52">
        <s:f>OPEX!E21</s:f>
        <s:v>960.0</s:v>
      </s:c>
      <s:c r="F24" s="52">
        <s:f>OPEX!F21</s:f>
        <s:v>1080.0</s:v>
      </s:c>
      <s:c r="G24" s="52">
        <s:f>OPEX!G21</s:f>
        <s:v>1200.0</s:v>
      </s:c>
      <s:c r="H24" s="52">
        <s:f>OPEX!H21</s:f>
        <s:v>1320.0</s:v>
      </s:c>
      <s:c r="I24" s="52">
        <s:f>OPEX!I21</s:f>
        <s:v>1320.0</s:v>
      </s:c>
      <s:c r="J24" s="52">
        <s:f>OPEX!J21</s:f>
        <s:v>1080.0</s:v>
      </s:c>
      <s:c r="K24" s="52">
        <s:f>OPEX!K21</s:f>
        <s:v>720.0</s:v>
      </s:c>
      <s:c r="L24" s="52">
        <s:f>OPEX!L21</s:f>
        <s:v>720.0</s:v>
      </s:c>
      <s:c r="M24" s="52">
        <s:f>OPEX!M21</s:f>
        <s:v>720.0</s:v>
      </s:c>
      <s:c r="N24" s="18">
        <s:f>SUM(B24:M24)</s:f>
        <s:v>12000.0</s:v>
      </s:c>
    </s:row>
    <s:row r="25">
      <s:c r="A25" s="67" t="inlineStr">
        <s:is>
          <s:t>ნერგები და თესლი / Seedlings &amp; seeds</s:t>
        </s:is>
      </s:c>
      <s:c r="B25" s="52">
        <s:f>OPEX!B22</s:f>
        <s:v>0.0</s:v>
      </s:c>
      <s:c r="C25" s="52">
        <s:f>OPEX!C22</s:f>
        <s:v>0.0</s:v>
      </s:c>
      <s:c r="D25" s="52">
        <s:f>OPEX!D22</s:f>
        <s:v>2800.0</s:v>
      </s:c>
      <s:c r="E25" s="52">
        <s:f>OPEX!E22</s:f>
        <s:v>3500.0</s:v>
      </s:c>
      <s:c r="F25" s="52">
        <s:f>OPEX!F22</s:f>
        <s:v>0.0</s:v>
      </s:c>
      <s:c r="G25" s="52">
        <s:f>OPEX!G22</s:f>
        <s:v>0.0</s:v>
      </s:c>
      <s:c r="H25" s="52">
        <s:f>OPEX!H22</s:f>
        <s:v>0.0</s:v>
      </s:c>
      <s:c r="I25" s="52">
        <s:f>OPEX!I22</s:f>
        <s:v>4200.0</s:v>
      </s:c>
      <s:c r="J25" s="52">
        <s:f>OPEX!J22</s:f>
        <s:v>3500.0</s:v>
      </s:c>
      <s:c r="K25" s="52">
        <s:f>OPEX!K22</s:f>
        <s:v>0.0</s:v>
      </s:c>
      <s:c r="L25" s="52">
        <s:f>OPEX!L22</s:f>
        <s:v>0.0</s:v>
      </s:c>
      <s:c r="M25" s="52">
        <s:f>OPEX!M22</s:f>
        <s:v>0.0</s:v>
      </s:c>
      <s:c r="N25" s="18">
        <s:f>SUM(B25:M25)</s:f>
        <s:v>14000.0</s:v>
      </s:c>
    </s:row>
    <s:row r="26">
      <s:c r="A26" s="67" t="inlineStr">
        <s:is>
          <s:t>სასუქი და მცენარეთა დაცვა / Fertiliser &amp; crop protection</s:t>
        </s:is>
      </s:c>
      <s:c r="B26" s="52">
        <s:f>OPEX!B23</s:f>
        <s:v>1440.0</s:v>
      </s:c>
      <s:c r="C26" s="52">
        <s:f>OPEX!C23</s:f>
        <s:v>1800.0</s:v>
      </s:c>
      <s:c r="D26" s="52">
        <s:f>OPEX!D23</s:f>
        <s:v>2160.0</s:v>
      </s:c>
      <s:c r="E26" s="52">
        <s:f>OPEX!E23</s:f>
        <s:v>1800.0</s:v>
      </s:c>
      <s:c r="F26" s="52">
        <s:f>OPEX!F23</s:f>
        <s:v>1440.0</s:v>
      </s:c>
      <s:c r="G26" s="52">
        <s:f>OPEX!G23</s:f>
        <s:v>1440.0</s:v>
      </s:c>
      <s:c r="H26" s="52">
        <s:f>OPEX!H23</s:f>
        <s:v>1440.0</s:v>
      </s:c>
      <s:c r="I26" s="52">
        <s:f>OPEX!I23</s:f>
        <s:v>1440.0</s:v>
      </s:c>
      <s:c r="J26" s="52">
        <s:f>OPEX!J23</s:f>
        <s:v>1800.0</s:v>
      </s:c>
      <s:c r="K26" s="52">
        <s:f>OPEX!K23</s:f>
        <s:v>1800.0</s:v>
      </s:c>
      <s:c r="L26" s="52">
        <s:f>OPEX!L23</s:f>
        <s:v>720.0</s:v>
      </s:c>
      <s:c r="M26" s="52">
        <s:f>OPEX!M23</s:f>
        <s:v>720.0</s:v>
      </s:c>
      <s:c r="N26" s="18">
        <s:f>SUM(B26:M26)</s:f>
        <s:v>18000.0</s:v>
      </s:c>
    </s:row>
    <s:row r="27">
      <s:c r="A27" s="67" t="inlineStr">
        <s:is>
          <s:t>შეფუთვა და ლოგისტიკა / Packaging &amp; logistics</s:t>
        </s:is>
      </s:c>
      <s:c r="B27" s="52">
        <s:f>OPEX!B24</s:f>
        <s:v>1200.0</s:v>
      </s:c>
      <s:c r="C27" s="52">
        <s:f>OPEX!C24</s:f>
        <s:v>1400.0000000000002</s:v>
      </s:c>
      <s:c r="D27" s="52">
        <s:f>OPEX!D24</s:f>
        <s:v>1400.0000000000002</s:v>
      </s:c>
      <s:c r="E27" s="52">
        <s:f>OPEX!E24</s:f>
        <s:v>800.0</s:v>
      </s:c>
      <s:c r="F27" s="52">
        <s:f>OPEX!F24</s:f>
        <s:v>0.0</s:v>
      </s:c>
      <s:c r="G27" s="52">
        <s:f>OPEX!G24</s:f>
        <s:v>700.0000000000001</s:v>
      </s:c>
      <s:c r="H27" s="52">
        <s:f>OPEX!H24</s:f>
        <s:v>1100.0</s:v>
      </s:c>
      <s:c r="I27" s="52">
        <s:f>OPEX!I24</s:f>
        <s:v>1100.0</s:v>
      </s:c>
      <s:c r="J27" s="52">
        <s:f>OPEX!J24</s:f>
        <s:v>700.0000000000001</s:v>
      </s:c>
      <s:c r="K27" s="52">
        <s:f>OPEX!K24</s:f>
        <s:v>0.0</s:v>
      </s:c>
      <s:c r="L27" s="52">
        <s:f>OPEX!L24</s:f>
        <s:v>0.0</s:v>
      </s:c>
      <s:c r="M27" s="52">
        <s:f>OPEX!M24</s:f>
        <s:v>1600.0</s:v>
      </s:c>
      <s:c r="N27" s="18">
        <s:f>SUM(B27:M27)</s:f>
        <s:v>10000.0</s:v>
      </s:c>
    </s:row>
    <s:row r="28">
      <s:c r="A28" s="67" t="inlineStr">
        <s:is>
          <s:t>რემონტი და მოვლა / Maintenance &amp; repairs</s:t>
        </s:is>
      </s:c>
      <s:c r="B28" s="52">
        <s:f>OPEX!B25</s:f>
        <s:v>120.0</s:v>
      </s:c>
      <s:c r="C28" s="52">
        <s:f>OPEX!C25</s:f>
        <s:v>120.0</s:v>
      </s:c>
      <s:c r="D28" s="52">
        <s:f>OPEX!D25</s:f>
        <s:v>120.0</s:v>
      </s:c>
      <s:c r="E28" s="52">
        <s:f>OPEX!E25</s:f>
        <s:v>240.0</s:v>
      </s:c>
      <s:c r="F28" s="52">
        <s:f>OPEX!F25</s:f>
        <s:v>1200.0</s:v>
      </s:c>
      <s:c r="G28" s="52">
        <s:f>OPEX!G25</s:f>
        <s:v>600.0</s:v>
      </s:c>
      <s:c r="H28" s="52">
        <s:f>OPEX!H25</s:f>
        <s:v>120.0</s:v>
      </s:c>
      <s:c r="I28" s="52">
        <s:f>OPEX!I25</s:f>
        <s:v>120.0</s:v>
      </s:c>
      <s:c r="J28" s="52">
        <s:f>OPEX!J25</s:f>
        <s:v>180.0</s:v>
      </s:c>
      <s:c r="K28" s="52">
        <s:f>OPEX!K25</s:f>
        <s:v>1500.0</s:v>
      </s:c>
      <s:c r="L28" s="52">
        <s:f>OPEX!L25</s:f>
        <s:v>1500.0</s:v>
      </s:c>
      <s:c r="M28" s="52">
        <s:f>OPEX!M25</s:f>
        <s:v>180.0</s:v>
      </s:c>
      <s:c r="N28" s="18">
        <s:f>SUM(B28:M28)</s:f>
        <s:v>6000.0</s:v>
      </s:c>
    </s:row>
    <s:row r="29">
      <s:c r="A29" s="67" t="inlineStr">
        <s:is>
          <s:t>ადმინისტრაცია, დაზღვევა, ბუღალტერია / Admin, insurance, accounting</s:t>
        </s:is>
      </s:c>
      <s:c r="B29" s="52">
        <s:f>OPEX!B26</s:f>
        <s:v>480.0</s:v>
      </s:c>
      <s:c r="C29" s="52">
        <s:f>OPEX!C26</s:f>
        <s:v>480.0</s:v>
      </s:c>
      <s:c r="D29" s="52">
        <s:f>OPEX!D26</s:f>
        <s:v>540.0</s:v>
      </s:c>
      <s:c r="E29" s="52">
        <s:f>OPEX!E26</s:f>
        <s:v>480.0</s:v>
      </s:c>
      <s:c r="F29" s="52">
        <s:f>OPEX!F26</s:f>
        <s:v>480.0</s:v>
      </s:c>
      <s:c r="G29" s="52">
        <s:f>OPEX!G26</s:f>
        <s:v>540.0</s:v>
      </s:c>
      <s:c r="H29" s="52">
        <s:f>OPEX!H26</s:f>
        <s:v>480.0</s:v>
      </s:c>
      <s:c r="I29" s="52">
        <s:f>OPEX!I26</s:f>
        <s:v>480.0</s:v>
      </s:c>
      <s:c r="J29" s="52">
        <s:f>OPEX!J26</s:f>
        <s:v>540.0</s:v>
      </s:c>
      <s:c r="K29" s="52">
        <s:f>OPEX!K26</s:f>
        <s:v>480.0</s:v>
      </s:c>
      <s:c r="L29" s="52">
        <s:f>OPEX!L26</s:f>
        <s:v>480.0</s:v>
      </s:c>
      <s:c r="M29" s="52">
        <s:f>OPEX!M26</s:f>
        <s:v>540.0</s:v>
      </s:c>
      <s:c r="N29" s="18">
        <s:f>SUM(B29:M29)</s:f>
        <s:v>6000.0</s:v>
      </s:c>
    </s:row>
    <s:row r="30">
      <s:c r="A30" s="26" t="inlineStr">
        <s:is>
          <s:t>სულ OPEX / TOTAL OPEX</s:t>
        </s:is>
      </s:c>
      <s:c r="B30" s="27">
        <s:f>SUM(B22:B29)</s:f>
        <s:v>17520.0</s:v>
      </s:c>
      <s:c r="C30" s="27">
        <s:f>SUM(C22:C29)</s:f>
        <s:v>17000.0</s:v>
      </s:c>
      <s:c r="D30" s="27">
        <s:f>SUM(D22:D29)</s:f>
        <s:v>16980.0</s:v>
      </s:c>
      <s:c r="E30" s="27">
        <s:f>SUM(E22:E29)</s:f>
        <s:v>12700.0</s:v>
      </s:c>
      <s:c r="F30" s="27">
        <s:f>SUM(F22:F29)</s:f>
        <s:v>7560.0</s:v>
      </s:c>
      <s:c r="G30" s="27">
        <s:f>SUM(G22:G29)</s:f>
        <s:v>8800.0</s:v>
      </s:c>
      <s:c r="H30" s="27">
        <s:f>SUM(H22:H29)</s:f>
        <s:v>8780.0</s:v>
      </s:c>
      <s:c r="I30" s="27">
        <s:f>SUM(I22:I29)</s:f>
        <s:v>12980.0</s:v>
      </s:c>
      <s:c r="J30" s="27">
        <s:f>SUM(J22:J29)</s:f>
        <s:v>11640.0</s:v>
      </s:c>
      <s:c r="K30" s="27">
        <s:f>SUM(K22:K29)</s:f>
        <s:v>9300.0</s:v>
      </s:c>
      <s:c r="L30" s="27">
        <s:f>SUM(L22:L29)</s:f>
        <s:v>11460.0</s:v>
      </s:c>
      <s:c r="M30" s="27">
        <s:f>SUM(M22:M29)</s:f>
        <s:v>15280.0</s:v>
      </s:c>
      <s:c r="N30" s="27">
        <s:f>SUM(B30:M30)</s:f>
        <s:v>150000.0</s:v>
      </s:c>
    </s:row>
    <s:row r="31">
      <s:c r="A31" s="10" t="inlineStr">
        <s:is>
          <s:t>მოგება და ვალის მომსახურება / EBITDA &amp; DEBT SERVICE (GEL)</s:t>
        </s:is>
      </s:c>
      <s:c r="B31" s="11" t="n"/>
      <s:c r="C31" s="11" t="n"/>
      <s:c r="D31" s="11" t="n"/>
      <s:c r="E31" s="11" t="n"/>
      <s:c r="F31" s="11" t="n"/>
      <s:c r="G31" s="11" t="n"/>
      <s:c r="H31" s="11" t="n"/>
      <s:c r="I31" s="11" t="n"/>
      <s:c r="J31" s="11" t="n"/>
      <s:c r="K31" s="11" t="n"/>
      <s:c r="L31" s="11" t="n"/>
      <s:c r="M31" s="11" t="n"/>
      <s:c r="N31" s="11" t="n"/>
    </s:row>
    <s:row r="32">
      <s:c r="A32" s="26" t="inlineStr">
        <s:is>
          <s:t>EBITDA</s:t>
        </s:is>
      </s:c>
      <s:c r="B32" s="27">
        <s:f>B19-B30</s:f>
        <s:v>58980.0</s:v>
      </s:c>
      <s:c r="C32" s="27">
        <s:f>C19-C30</s:f>
        <s:v>78625.0</s:v>
      </s:c>
      <s:c r="D32" s="27">
        <s:f>D19-D30</s:f>
        <s:v>78645.0</s:v>
      </s:c>
      <s:c r="E32" s="27">
        <s:f>E19-E30</s:f>
        <s:v>44675.0</s:v>
      </s:c>
      <s:c r="F32" s="27">
        <s:f>F19-F30</s:f>
        <s:v>-7560.0</s:v>
      </s:c>
      <s:c r="G32" s="27">
        <s:f>G19-G30</s:f>
        <s:v>33200.0</s:v>
      </s:c>
      <s:c r="H32" s="27">
        <s:f>H19-H30</s:f>
        <s:v>54220.0</s:v>
      </s:c>
      <s:c r="I32" s="27">
        <s:f>I19-I30</s:f>
        <s:v>50020.0</s:v>
      </s:c>
      <s:c r="J32" s="27">
        <s:f>J19-J30</s:f>
        <s:v>30360.0</s:v>
      </s:c>
      <s:c r="K32" s="27">
        <s:f>K19-K30</s:f>
        <s:v>-9300.0</s:v>
      </s:c>
      <s:c r="L32" s="27">
        <s:f>L19-L30</s:f>
        <s:v>-11460.0</s:v>
      </s:c>
      <s:c r="M32" s="27">
        <s:f>M19-M30</s:f>
        <s:v>42095.0</s:v>
      </s:c>
      <s:c r="N32" s="27">
        <s:f>SUM(B32:M32)</s:f>
        <s:v>442500.0</s:v>
      </s:c>
    </s:row>
    <s:row r="33">
      <s:c r="A33" s="20" t="inlineStr">
        <s:is>
          <s:t>EBITDA მარჟა / margin</s:t>
        </s:is>
      </s:c>
      <s:c r="B33" s="22">
        <s:f>IFERROR(B32/B19,0)</s:f>
        <s:v>0.7709803921568628</s:v>
      </s:c>
      <s:c r="C33" s="22">
        <s:f>IFERROR(C32/C19,0)</s:f>
        <s:v>0.8222222222222222</s:v>
      </s:c>
      <s:c r="D33" s="22">
        <s:f>IFERROR(D32/D19,0)</s:f>
        <s:v>0.8224313725490197</s:v>
      </s:c>
      <s:c r="E33" s="22">
        <s:f>IFERROR(E32/E19,0)</s:f>
        <s:v>0.7786492374727669</s:v>
      </s:c>
      <s:c r="F33" s="22">
        <s:f>IFERROR(F32/F19,0)</s:f>
        <s:v>0.0</s:v>
      </s:c>
      <s:c r="G33" s="22">
        <s:f>IFERROR(G32/G19,0)</s:f>
        <s:v>0.7904761904761904</s:v>
      </s:c>
      <s:c r="H33" s="22">
        <s:f>IFERROR(H32/H19,0)</s:f>
        <s:v>0.8606349206349206</s:v>
      </s:c>
      <s:c r="I33" s="22">
        <s:f>IFERROR(I32/I19,0)</s:f>
        <s:v>0.793968253968254</s:v>
      </s:c>
      <s:c r="J33" s="22">
        <s:f>IFERROR(J32/J19,0)</s:f>
        <s:v>0.7228571428571429</s:v>
      </s:c>
      <s:c r="K33" s="22">
        <s:f>IFERROR(K32/K19,0)</s:f>
        <s:v>0.0</s:v>
      </s:c>
      <s:c r="L33" s="22">
        <s:f>IFERROR(L32/L19,0)</s:f>
        <s:v>0.0</s:v>
      </s:c>
      <s:c r="M33" s="22">
        <s:f>IFERROR(M32/M19,0)</s:f>
        <s:v>0.733681917211329</s:v>
      </s:c>
      <s:c r="N33" s="19">
        <s:f>IFERROR(N32/N19,0)</s:f>
        <s:v>0.7468354430379747</s:v>
      </s:c>
    </s:row>
    <s:row r="34">
      <s:c r="A34" s="67" t="inlineStr">
        <s:is>
          <s:t>სესხის პროცენტი, სააგენტოს გამოკლებით / Loan interest, net of agency</s:t>
        </s:is>
      </s:c>
      <s:c r="B34" s="52">
        <s:f>-INDEX(Loan!$G$5:$G$124,(Assumptions!$B$48-1)*12+1)</s:f>
        <s:v>-854.1666666666679</s:v>
      </s:c>
      <s:c r="C34" s="52">
        <s:f>-INDEX(Loan!$G$5:$G$124,(Assumptions!$B$48-1)*12+2)</s:f>
        <s:v>-854.1666666666679</s:v>
      </s:c>
      <s:c r="D34" s="52">
        <s:f>-INDEX(Loan!$G$5:$G$124,(Assumptions!$B$48-1)*12+3)</s:f>
        <s:v>-849.8169228074685</s:v>
      </s:c>
      <s:c r="E34" s="52">
        <s:f>-INDEX(Loan!$G$5:$G$124,(Assumptions!$B$48-1)*12+4)</s:f>
        <s:v>-845.4213616462866</s:v>
      </s:c>
      <s:c r="F34" s="52">
        <s:f>-INDEX(Loan!$G$5:$G$124,(Assumptions!$B$48-1)*12+5)</s:f>
        <s:v>-840.979500574208</s:v>
      </s:c>
      <s:c r="G34" s="52">
        <s:f>-INDEX(Loan!$G$5:$G$124,(Assumptions!$B$48-1)*12+6)</s:f>
        <s:v>-836.4908518988341</s:v>
      </s:c>
      <s:c r="H34" s="52">
        <s:f>-INDEX(Loan!$G$5:$G$124,(Assumptions!$B$48-1)*12+7)</s:f>
        <s:v>-831.9549227907482</s:v>
      </s:c>
      <s:c r="I34" s="52">
        <s:f>-INDEX(Loan!$G$5:$G$124,(Assumptions!$B$48-1)*12+8)</s:f>
        <s:v>-827.371215229391</s:v>
      </s:c>
      <s:c r="J34" s="52">
        <s:f>-INDEX(Loan!$G$5:$G$124,(Assumptions!$B$48-1)*12+9)</s:f>
        <s:v>-822.7392259483859</s:v>
      </s:c>
      <s:c r="K34" s="52">
        <s:f>-INDEX(Loan!$G$5:$G$124,(Assumptions!$B$48-1)*12+10)</s:f>
        <s:v>-818.0584463802879</s:v>
      </s:c>
      <s:c r="L34" s="52">
        <s:f>-INDEX(Loan!$G$5:$G$124,(Assumptions!$B$48-1)*12+11)</s:f>
        <s:v>-813.3283626007396</s:v>
      </s:c>
      <s:c r="M34" s="52">
        <s:f>-INDEX(Loan!$G$5:$G$124,(Assumptions!$B$48-1)*12+12)</s:f>
        <s:v>-1183.2416418615312</s:v>
      </s:c>
      <s:c r="N34" s="18">
        <s:f>SUM(B34:M34)</s:f>
        <s:v>-10377.735785071218</s:v>
      </s:c>
    </s:row>
    <s:row r="35">
      <s:c r="A35" s="67" t="inlineStr">
        <s:is>
          <s:t>სესხის ძირი / Loan principal repayment</s:t>
        </s:is>
      </s:c>
      <s:c r="B35" s="52">
        <s:f>-INDEX(Loan!$H$5:$H$124,(Assumptions!$B$48-1)*12+1)</s:f>
        <s:v>-0.0</s:v>
      </s:c>
      <s:c r="C35" s="52">
        <s:f>-INDEX(Loan!$H$5:$H$124,(Assumptions!$B$48-1)*12+2)</s:f>
        <s:v>-3182.7394091696015</s:v>
      </s:c>
      <s:c r="D35" s="52">
        <s:f>-INDEX(Loan!$H$5:$H$124,(Assumptions!$B$48-1)*12+3)</s:f>
        <s:v>-3216.2642642795226</s:v>
      </s:c>
      <s:c r="E35" s="52">
        <s:f>-INDEX(Loan!$H$5:$H$124,(Assumptions!$B$48-1)*12+4)</s:f>
        <s:v>-3250.1422478632667</s:v>
      </s:c>
      <s:c r="F35" s="52">
        <s:f>-INDEX(Loan!$H$5:$H$124,(Assumptions!$B$48-1)*12+5)</s:f>
        <s:v>-3284.377079540757</s:v>
      </s:c>
      <s:c r="G35" s="52">
        <s:f>-INDEX(Loan!$H$5:$H$124,(Assumptions!$B$48-1)*12+6)</s:f>
        <s:v>-3318.97251811192</s:v>
      </s:c>
      <s:c r="H35" s="52">
        <s:f>-INDEX(Loan!$H$5:$H$124,(Assumptions!$B$48-1)*12+7)</s:f>
        <s:v>-3353.932361969368</s:v>
      </s:c>
      <s:c r="I35" s="52">
        <s:f>-INDEX(Loan!$H$5:$H$124,(Assumptions!$B$48-1)*12+8)</s:f>
        <s:v>-3389.260449515443</s:v>
      </s:c>
      <s:c r="J35" s="52">
        <s:f>-INDEX(Loan!$H$5:$H$124,(Assumptions!$B$48-1)*12+9)</s:f>
        <s:v>-3424.960659583674</s:v>
      </s:c>
      <s:c r="K35" s="52">
        <s:f>-INDEX(Loan!$H$5:$H$124,(Assumptions!$B$48-1)*12+10)</s:f>
        <s:v>-3461.0369118646204</s:v>
      </s:c>
      <s:c r="L35" s="52">
        <s:f>-INDEX(Loan!$H$5:$H$124,(Assumptions!$B$48-1)*12+11)</s:f>
        <s:v>-3497.49316733626</s:v>
      </s:c>
      <s:c r="M35" s="52">
        <s:f>-INDEX(Loan!$H$5:$H$124,(Assumptions!$B$48-1)*12+12)</s:f>
        <s:v>-3411.815716181475</s:v>
      </s:c>
      <s:c r="N35" s="18">
        <s:f>SUM(B35:M35)</s:f>
        <s:v>-36790.9947854159</s:v>
      </s:c>
    </s:row>
    <s:row r="36">
      <s:c r="A36" s="26" t="inlineStr">
        <s:is>
          <s:t>სულ ვალის მომსახურება / Total debt service</s:t>
        </s:is>
      </s:c>
      <s:c r="B36" s="27">
        <s:f>-(B34+B35)</s:f>
        <s:v>854.1666666666679</s:v>
      </s:c>
      <s:c r="C36" s="27">
        <s:f>-(C34+C35)</s:f>
        <s:v>4036.9060758362693</s:v>
      </s:c>
      <s:c r="D36" s="27">
        <s:f>-(D34+D35)</s:f>
        <s:v>4066.081187086991</s:v>
      </s:c>
      <s:c r="E36" s="27">
        <s:f>-(E34+E35)</s:f>
        <s:v>4095.5636095095533</s:v>
      </s:c>
      <s:c r="F36" s="27">
        <s:f>-(F34+F35)</s:f>
        <s:v>4125.356580114965</s:v>
      </s:c>
      <s:c r="G36" s="27">
        <s:f>-(G34+G35)</s:f>
        <s:v>4155.463370010754</s:v>
      </s:c>
      <s:c r="H36" s="27">
        <s:f>-(H34+H35)</s:f>
        <s:v>4185.887284760116</s:v>
      </s:c>
      <s:c r="I36" s="27">
        <s:f>-(I34+I35)</s:f>
        <s:v>4216.631664744834</s:v>
      </s:c>
      <s:c r="J36" s="27">
        <s:f>-(J34+J35)</s:f>
        <s:v>4247.69988553206</s:v>
      </s:c>
      <s:c r="K36" s="27">
        <s:f>-(K34+K35)</s:f>
        <s:v>4279.095358244908</s:v>
      </s:c>
      <s:c r="L36" s="27">
        <s:f>-(L34+L35)</s:f>
        <s:v>4310.8215299369995</s:v>
      </s:c>
      <s:c r="M36" s="27">
        <s:f>-(M34+M35)</s:f>
        <s:v>4595.057358043006</s:v>
      </s:c>
      <s:c r="N36" s="27">
        <s:f>SUM(B36:M36)</s:f>
        <s:v>47168.730570487125</s:v>
      </s:c>
    </s:row>
    <s:row r="37">
      <s:c r="A37" s="20" t="inlineStr">
        <s:is>
          <s:t>მოგების გადასახადი / Profit tax</s:t>
        </s:is>
      </s:c>
      <s:c r="B37" s="21">
        <s:f>-MAX(0,B32+B34)*Assumptions!$B$44</s:f>
        <s:v>-0.0</s:v>
      </s:c>
      <s:c r="C37" s="21">
        <s:f>-MAX(0,C32+C34)*Assumptions!$B$44</s:f>
        <s:v>-0.0</s:v>
      </s:c>
      <s:c r="D37" s="21">
        <s:f>-MAX(0,D32+D34)*Assumptions!$B$44</s:f>
        <s:v>-0.0</s:v>
      </s:c>
      <s:c r="E37" s="21">
        <s:f>-MAX(0,E32+E34)*Assumptions!$B$44</s:f>
        <s:v>-0.0</s:v>
      </s:c>
      <s:c r="F37" s="21">
        <s:f>-MAX(0,F32+F34)*Assumptions!$B$44</s:f>
        <s:v>-0.0</s:v>
      </s:c>
      <s:c r="G37" s="21">
        <s:f>-MAX(0,G32+G34)*Assumptions!$B$44</s:f>
        <s:v>-0.0</s:v>
      </s:c>
      <s:c r="H37" s="21">
        <s:f>-MAX(0,H32+H34)*Assumptions!$B$44</s:f>
        <s:v>-0.0</s:v>
      </s:c>
      <s:c r="I37" s="21">
        <s:f>-MAX(0,I32+I34)*Assumptions!$B$44</s:f>
        <s:v>-0.0</s:v>
      </s:c>
      <s:c r="J37" s="21">
        <s:f>-MAX(0,J32+J34)*Assumptions!$B$44</s:f>
        <s:v>-0.0</s:v>
      </s:c>
      <s:c r="K37" s="21">
        <s:f>-MAX(0,K32+K34)*Assumptions!$B$44</s:f>
        <s:v>-0.0</s:v>
      </s:c>
      <s:c r="L37" s="21">
        <s:f>-MAX(0,L32+L34)*Assumptions!$B$44</s:f>
        <s:v>-0.0</s:v>
      </s:c>
      <s:c r="M37" s="21">
        <s:f>-MAX(0,M32+M34)*Assumptions!$B$44</s:f>
        <s:v>-0.0</s:v>
      </s:c>
      <s:c r="N37" s="18">
        <s:f>SUM(B37:M37)</s:f>
        <s:v>0.0</s:v>
      </s:c>
    </s:row>
    <s:row r="39">
      <s:c r="A39" s="10" t="inlineStr">
        <s:is>
          <s:t>საინვესტიციო და საფინანსო ნაკადი / INVESTING &amp; FINANCING (GEL)</s:t>
        </s:is>
      </s:c>
      <s:c r="B39" s="11" t="n"/>
      <s:c r="C39" s="11" t="n"/>
      <s:c r="D39" s="11" t="n"/>
      <s:c r="E39" s="11" t="n"/>
      <s:c r="F39" s="11" t="n"/>
      <s:c r="G39" s="11" t="n"/>
      <s:c r="H39" s="11" t="n"/>
      <s:c r="I39" s="11" t="n"/>
      <s:c r="J39" s="11" t="n"/>
      <s:c r="K39" s="11" t="n"/>
      <s:c r="L39" s="11" t="n"/>
      <s:c r="M39" s="11" t="n"/>
      <s:c r="N39" s="11" t="n"/>
    </s:row>
    <s:row r="40">
      <s:c r="A40" s="20" t="inlineStr">
        <s:is>
          <s:t>სესხის ათვისება / Loan drawdown</s:t>
        </s:is>
      </s:c>
      <s:c r="B40" s="21">
        <s:f>Assumptions!$B$46*Assumptions!$B$29</s:f>
        <s:v>0.0</s:v>
      </s:c>
      <s:c r="C40" s="21">
        <s:f>0</s:f>
        <s:v>0.0</s:v>
      </s:c>
      <s:c r="D40" s="21">
        <s:f>0</s:f>
        <s:v>0.0</s:v>
      </s:c>
      <s:c r="E40" s="21">
        <s:f>0</s:f>
        <s:v>0.0</s:v>
      </s:c>
      <s:c r="F40" s="21">
        <s:f>0</s:f>
        <s:v>0.0</s:v>
      </s:c>
      <s:c r="G40" s="21">
        <s:f>0</s:f>
        <s:v>0.0</s:v>
      </s:c>
      <s:c r="H40" s="21">
        <s:f>0</s:f>
        <s:v>0.0</s:v>
      </s:c>
      <s:c r="I40" s="21">
        <s:f>0</s:f>
        <s:v>0.0</s:v>
      </s:c>
      <s:c r="J40" s="21">
        <s:f>0</s:f>
        <s:v>0.0</s:v>
      </s:c>
      <s:c r="K40" s="21">
        <s:f>0</s:f>
        <s:v>0.0</s:v>
      </s:c>
      <s:c r="L40" s="21">
        <s:f>0</s:f>
        <s:v>0.0</s:v>
      </s:c>
      <s:c r="M40" s="21">
        <s:f>0</s:f>
        <s:v>0.0</s:v>
      </s:c>
      <s:c r="N40" s="18">
        <s:f>SUM(B40:M40)</s:f>
        <s:v>0.0</s:v>
      </s:c>
    </s:row>
    <s:row r="41">
      <s:c r="A41" s="20" t="inlineStr">
        <s:is>
          <s:t>კაპიტალური ხარჯი / CAPEX</s:t>
        </s:is>
      </s:c>
      <s:c r="B41" s="21">
        <s:f>-Assumptions!$B$47</s:f>
        <s:v>-0.0</s:v>
      </s:c>
      <s:c r="C41" s="21">
        <s:f>0</s:f>
        <s:v>0.0</s:v>
      </s:c>
      <s:c r="D41" s="21">
        <s:f>0</s:f>
        <s:v>0.0</s:v>
      </s:c>
      <s:c r="E41" s="21">
        <s:f>0</s:f>
        <s:v>0.0</s:v>
      </s:c>
      <s:c r="F41" s="21">
        <s:f>0</s:f>
        <s:v>0.0</s:v>
      </s:c>
      <s:c r="G41" s="21">
        <s:f>0</s:f>
        <s:v>0.0</s:v>
      </s:c>
      <s:c r="H41" s="21">
        <s:f>0</s:f>
        <s:v>0.0</s:v>
      </s:c>
      <s:c r="I41" s="21">
        <s:f>0</s:f>
        <s:v>0.0</s:v>
      </s:c>
      <s:c r="J41" s="21">
        <s:f>0</s:f>
        <s:v>0.0</s:v>
      </s:c>
      <s:c r="K41" s="21">
        <s:f>0</s:f>
        <s:v>0.0</s:v>
      </s:c>
      <s:c r="L41" s="21">
        <s:f>0</s:f>
        <s:v>0.0</s:v>
      </s:c>
      <s:c r="M41" s="21">
        <s:f>0</s:f>
        <s:v>0.0</s:v>
      </s:c>
      <s:c r="N41" s="18">
        <s:f>SUM(B41:M41)</s:f>
        <s:v>0.0</s:v>
      </s:c>
    </s:row>
    <s:row r="42">
      <s:c r="A42" s="10" t="inlineStr">
        <s:is>
          <s:t>ფულადი ნაშთი / CASH POSITION (GEL)</s:t>
        </s:is>
      </s:c>
      <s:c r="B42" s="11" t="n"/>
      <s:c r="C42" s="11" t="n"/>
      <s:c r="D42" s="11" t="n"/>
      <s:c r="E42" s="11" t="n"/>
      <s:c r="F42" s="11" t="n"/>
      <s:c r="G42" s="11" t="n"/>
      <s:c r="H42" s="11" t="n"/>
      <s:c r="I42" s="11" t="n"/>
      <s:c r="J42" s="11" t="n"/>
      <s:c r="K42" s="11" t="n"/>
      <s:c r="L42" s="11" t="n"/>
      <s:c r="M42" s="11" t="n"/>
      <s:c r="N42" s="11" t="n"/>
    </s:row>
    <s:row r="43">
      <s:c r="A43" s="26" t="inlineStr">
        <s:is>
          <s:t>წმინდა ფულადი ნაკადი / NET CASH FLOW</s:t>
        </s:is>
      </s:c>
      <s:c r="B43" s="27">
        <s:f>B32+B34+B35+B37+B40+B41</s:f>
        <s:v>58125.83333333333</s:v>
      </s:c>
      <s:c r="C43" s="27">
        <s:f>C32+C34+C35+C37+C40+C41</s:f>
        <s:v>74588.09392416372</s:v>
      </s:c>
      <s:c r="D43" s="27">
        <s:f>D32+D34+D35+D37+D40+D41</s:f>
        <s:v>74578.918812913</s:v>
      </s:c>
      <s:c r="E43" s="27">
        <s:f>E32+E34+E35+E37+E40+E41</s:f>
        <s:v>40579.436390490446</s:v>
      </s:c>
      <s:c r="F43" s="27">
        <s:f>F32+F34+F35+F37+F40+F41</s:f>
        <s:v>-11685.356580114967</s:v>
      </s:c>
      <s:c r="G43" s="27">
        <s:f>G32+G34+G35+G37+G40+G41</s:f>
        <s:v>29044.536629989245</s:v>
      </s:c>
      <s:c r="H43" s="27">
        <s:f>H32+H34+H35+H37+H40+H41</s:f>
        <s:v>50034.112715239884</s:v>
      </s:c>
      <s:c r="I43" s="27">
        <s:f>I32+I34+I35+I37+I40+I41</s:f>
        <s:v>45803.36833525517</s:v>
      </s:c>
      <s:c r="J43" s="27">
        <s:f>J32+J34+J35+J37+J40+J41</s:f>
        <s:v>26112.30011446794</s:v>
      </s:c>
      <s:c r="K43" s="27">
        <s:f>K32+K34+K35+K37+K40+K41</s:f>
        <s:v>-13579.095358244907</s:v>
      </s:c>
      <s:c r="L43" s="27">
        <s:f>L32+L34+L35+L37+L40+L41</s:f>
        <s:v>-15770.821529936999</s:v>
      </s:c>
      <s:c r="M43" s="27">
        <s:f>M32+M34+M35+M37+M40+M41</s:f>
        <s:v>37499.94264195699</s:v>
      </s:c>
      <s:c r="N43" s="27">
        <s:f>SUM(B43:M43)</s:f>
        <s:v>395331.2694295129</s:v>
      </s:c>
    </s:row>
    <s:row r="44">
      <s:c r="A44" s="20" t="inlineStr">
        <s:is>
          <s:t>საწყისი ნაშთი / Opening cash</s:t>
        </s:is>
      </s:c>
      <s:c r="B44" s="52">
        <s:f>Assumptions!$B$45</s:f>
        <s:v>0.0</s:v>
      </s:c>
      <s:c r="C44" s="21">
        <s:f>B45</s:f>
        <s:v>58125.83333333333</s:v>
      </s:c>
      <s:c r="D44" s="21">
        <s:f>C45</s:f>
        <s:v>132713.92725749704</s:v>
      </s:c>
      <s:c r="E44" s="21">
        <s:f>D45</s:f>
        <s:v>207292.84607041004</s:v>
      </s:c>
      <s:c r="F44" s="21">
        <s:f>E45</s:f>
        <s:v>247872.2824609005</s:v>
      </s:c>
      <s:c r="G44" s="21">
        <s:f>F45</s:f>
        <s:v>236186.9258807855</s:v>
      </s:c>
      <s:c r="H44" s="21">
        <s:f>G45</s:f>
        <s:v>265231.4625107747</s:v>
      </s:c>
      <s:c r="I44" s="21">
        <s:f>H45</s:f>
        <s:v>315265.5752260146</s:v>
      </s:c>
      <s:c r="J44" s="21">
        <s:f>I45</s:f>
        <s:v>361068.9435612698</s:v>
      </s:c>
      <s:c r="K44" s="21">
        <s:f>J45</s:f>
        <s:v>387181.2436757377</s:v>
      </s:c>
      <s:c r="L44" s="21">
        <s:f>K45</s:f>
        <s:v>373602.1483174928</s:v>
      </s:c>
      <s:c r="M44" s="21">
        <s:f>L45</s:f>
        <s:v>357831.3267875558</s:v>
      </s:c>
      <s:c r="N44" s="18">
        <s:f>B44</s:f>
        <s:v>0.0</s:v>
      </s:c>
    </s:row>
    <s:row r="45">
      <s:c r="A45" s="26" t="inlineStr">
        <s:is>
          <s:t>საბოლოო ნაშთი / CLOSING CASH</s:t>
        </s:is>
      </s:c>
      <s:c r="B45" s="27">
        <s:f>B44+B43</s:f>
        <s:v>58125.83333333333</s:v>
      </s:c>
      <s:c r="C45" s="27">
        <s:f>C44+C43</s:f>
        <s:v>132713.92725749704</s:v>
      </s:c>
      <s:c r="D45" s="27">
        <s:f>D44+D43</s:f>
        <s:v>207292.84607041004</s:v>
      </s:c>
      <s:c r="E45" s="27">
        <s:f>E44+E43</s:f>
        <s:v>247872.2824609005</s:v>
      </s:c>
      <s:c r="F45" s="27">
        <s:f>F44+F43</s:f>
        <s:v>236186.9258807855</s:v>
      </s:c>
      <s:c r="G45" s="27">
        <s:f>G44+G43</s:f>
        <s:v>265231.4625107747</s:v>
      </s:c>
      <s:c r="H45" s="27">
        <s:f>H44+H43</s:f>
        <s:v>315265.5752260146</s:v>
      </s:c>
      <s:c r="I45" s="27">
        <s:f>I44+I43</s:f>
        <s:v>361068.9435612698</s:v>
      </s:c>
      <s:c r="J45" s="27">
        <s:f>J44+J43</s:f>
        <s:v>387181.2436757377</s:v>
      </s:c>
      <s:c r="K45" s="27">
        <s:f>K44+K43</s:f>
        <s:v>373602.1483174928</s:v>
      </s:c>
      <s:c r="L45" s="27">
        <s:f>L44+L43</s:f>
        <s:v>357831.3267875558</s:v>
      </s:c>
      <s:c r="M45" s="27">
        <s:f>M44+M43</s:f>
        <s:v>395331.2694295128</s:v>
      </s:c>
      <s:c r="N45" s="27">
        <s:f>M45</s:f>
        <s:v>395331.2694295128</s:v>
      </s:c>
    </s:row>
    <s:row r="46">
      <s:c r="A46" s="20" t="inlineStr">
        <s:is>
          <s:t>კუმულატიური ნაკადი / Cumulative net cash flow</s:t>
        </s:is>
      </s:c>
      <s:c r="B46" s="21">
        <s:f>SUM($B$43:B43)</s:f>
        <s:v>58125.83333333333</s:v>
      </s:c>
      <s:c r="C46" s="21">
        <s:f>SUM($B$43:C43)</s:f>
        <s:v>132713.92725749704</s:v>
      </s:c>
      <s:c r="D46" s="21">
        <s:f>SUM($B$43:D43)</s:f>
        <s:v>207292.84607041004</s:v>
      </s:c>
      <s:c r="E46" s="21">
        <s:f>SUM($B$43:E43)</s:f>
        <s:v>247872.2824609005</s:v>
      </s:c>
      <s:c r="F46" s="21">
        <s:f>SUM($B$43:F43)</s:f>
        <s:v>236186.9258807855</s:v>
      </s:c>
      <s:c r="G46" s="21">
        <s:f>SUM($B$43:G43)</s:f>
        <s:v>265231.4625107747</s:v>
      </s:c>
      <s:c r="H46" s="21">
        <s:f>SUM($B$43:H43)</s:f>
        <s:v>315265.5752260146</s:v>
      </s:c>
      <s:c r="I46" s="21">
        <s:f>SUM($B$43:I43)</s:f>
        <s:v>361068.94356126984</s:v>
      </s:c>
      <s:c r="J46" s="21">
        <s:f>SUM($B$43:J43)</s:f>
        <s:v>387181.24367573776</s:v>
      </s:c>
      <s:c r="K46" s="21">
        <s:f>SUM($B$43:K43)</s:f>
        <s:v>373602.14831749286</s:v>
      </s:c>
      <s:c r="L46" s="21">
        <s:f>SUM($B$43:L43)</s:f>
        <s:v>357831.3267875559</s:v>
      </s:c>
      <s:c r="M46" s="21">
        <s:f>SUM($B$43:M43)</s:f>
        <s:v>395331.2694295129</s:v>
      </s:c>
      <s:c r="N46" s="18">
        <s:f>M46</s:f>
        <s:v>395331.2694295129</s:v>
      </s:c>
    </s:row>
    <s:row r="48">
      <s:c r="A48" s="3" t="inlineStr">
        <s:is>
          <s:t>საბრუნავი კაპიტალის საჭიროება / Working-capital requirement (largest cash shortfall)</s:t>
        </s:is>
      </s:c>
      <s:c r="B48" s="68">
        <s:f>MIN(0,MIN(B45:M45))</s:f>
        <s:v>0.0</s:v>
      </s:c>
      <s:c r="C48" s="2" t="inlineStr">
        <s:is>
          <s:t>თუ უარყოფითია, ეს თანხა უნდა შეივსოს საბრუნავი კაპიტალით / If negative, this much extra working capital is needed</s:t>
        </s:is>
      </s:c>
    </s:row>
    <s:row r="49">
      <s:c r="A49" s="3" t="inlineStr">
        <s:is>
          <s:t>DSCR (EBITDA / ვალის მომსახურება), წელი 1</s:t>
        </s:is>
      </s:c>
      <s:c r="B49" s="69">
        <s:f>IFERROR(N32/N36,0)</s:f>
        <s:v>9.381214941511837</s:v>
      </s:c>
      <s:c r="C49" s="2" t="inlineStr">
        <s:is>
          <s:t>ბანკები ჩვეულებრივ ითხოვენ ≥ 1.20x / Banks typically require ≥ 1.20x</s:t>
        </s:is>
      </s:c>
    </s:row>
    <s:row r="50">
      <s:c r="A50" s="3" t="inlineStr">
        <s:is>
          <s:t>შემოწმება — სეზონურობის ჯამი / Check — seasonality totals (both must be 100%)</s:t>
        </s:is>
      </s:c>
      <s:c r="B50" s="70">
        <s:f>SUM(B7:M7)</s:f>
        <s:v>1.0</s:v>
      </s:c>
      <s:c r="C50" s="70">
        <s:f>SUM(B8:M8)</s:f>
        <s:v>1.0</s:v>
      </s:c>
    </s:row>
  </s:sheetData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A1:F38"/>
  <s:sheetViews>
    <s:sheetView showGridLines="0" workbookViewId="0">
      <s:pane xSplit="1" ySplit="4" topLeftCell="B5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50" customWidth="1" min="1" max="1"/>
    <s:col width="15" customWidth="1" min="2" max="2"/>
    <s:col width="15" customWidth="1" min="3" max="3"/>
    <s:col width="15" customWidth="1" min="4" max="4"/>
    <s:col width="15" customWidth="1" min="5" max="5"/>
    <s:col width="15" customWidth="1" min="6" max="6"/>
  </s:cols>
  <s:sheetData>
    <s:row r="1">
      <s:c r="A1" s="1" t="inlineStr">
        <s:is>
          <s:t>წლიური მიმოხილვა / ANNUAL SUMMARY — YEARS 1–5</s:t>
        </s:is>
      </s:c>
    </s:row>
    <s:row r="2">
      <s:c r="A2" s="2" t="inlineStr">
        <s:is>
          <s:t>წლები 2–5 იზრდება Assumptions!B37:B39 პარამეტრებით / Years 2–5 are grown with the rates in Assumptions!B37:B39</s:t>
        </s:is>
      </s:c>
    </s:row>
    <s:row r="4">
      <s:c r="A4" s="62" t="inlineStr">
        <s:is>
          <s:t>მაჩვენებელი / Item</s:t>
        </s:is>
      </s:c>
      <s:c r="B4" s="12" t="inlineStr">
        <s:is>
          <s:t>წელი 1 / Year 1</s:t>
        </s:is>
      </s:c>
      <s:c r="C4" s="12" t="inlineStr">
        <s:is>
          <s:t>წელი 2 / Year 2</s:t>
        </s:is>
      </s:c>
      <s:c r="D4" s="12" t="inlineStr">
        <s:is>
          <s:t>წელი 3 / Year 3</s:t>
        </s:is>
      </s:c>
      <s:c r="E4" s="12" t="inlineStr">
        <s:is>
          <s:t>წელი 4 / Year 4</s:t>
        </s:is>
      </s:c>
      <s:c r="F4" s="12" t="inlineStr">
        <s:is>
          <s:t>წელი 5 / Year 5</s:t>
        </s:is>
      </s:c>
    </s:row>
    <s:row r="5">
      <s:c r="A5" s="10" t="inlineStr">
        <s:is>
          <s:t>მოცულობა და ფასი / VOLUME &amp; PRICE</s:t>
        </s:is>
      </s:c>
      <s:c r="B5" s="11" t="n"/>
      <s:c r="C5" s="11" t="n"/>
      <s:c r="D5" s="11" t="n"/>
      <s:c r="E5" s="11" t="n"/>
      <s:c r="F5" s="11" t="n"/>
    </s:row>
    <s:row r="6">
      <s:c r="A6" s="20" t="inlineStr">
        <s:is>
          <s:t>ზამთრის მოსავალი / Winter crop (kg)</s:t>
        </s:is>
      </s:c>
      <s:c r="B6" s="21">
        <s:f>Assumptions!$B$11</s:f>
        <s:v>85000.0</s:v>
      </s:c>
      <s:c r="C6" s="21">
        <s:f>B6*(1+Assumptions!$B$39)</s:f>
        <s:v>86700.0</s:v>
      </s:c>
      <s:c r="D6" s="21">
        <s:f>C6*(1+Assumptions!$B$39)</s:f>
        <s:v>88434.0</s:v>
      </s:c>
      <s:c r="E6" s="21">
        <s:f>D6*(1+Assumptions!$B$39)</s:f>
        <s:v>90202.68000000001</s:v>
      </s:c>
      <s:c r="F6" s="21">
        <s:f>E6*(1+Assumptions!$B$39)</s:f>
        <s:v>92006.7336</s:v>
      </s:c>
    </s:row>
    <s:row r="7">
      <s:c r="A7" s="20" t="inlineStr">
        <s:is>
          <s:t>ზაფხულის მოსავალი / Summer crop (kg)</s:t>
        </s:is>
      </s:c>
      <s:c r="B7" s="21">
        <s:f>Assumptions!$B$15</s:f>
        <s:v>70000.0</s:v>
      </s:c>
      <s:c r="C7" s="21">
        <s:f>B7*(1+Assumptions!$B$39)</s:f>
        <s:v>71400.0</s:v>
      </s:c>
      <s:c r="D7" s="21">
        <s:f>C7*(1+Assumptions!$B$39)</s:f>
        <s:v>72828.0</s:v>
      </s:c>
      <s:c r="E7" s="21">
        <s:f>D7*(1+Assumptions!$B$39)</s:f>
        <s:v>74284.56</s:v>
      </s:c>
      <s:c r="F7" s="21">
        <s:f>E7*(1+Assumptions!$B$39)</s:f>
        <s:v>75770.2512</s:v>
      </s:c>
    </s:row>
    <s:row r="8">
      <s:c r="A8" s="17" t="inlineStr">
        <s:is>
          <s:t>სულ / Total (kg)</s:t>
        </s:is>
      </s:c>
      <s:c r="B8" s="18">
        <s:f>B6+B7</s:f>
        <s:v>155000.0</s:v>
      </s:c>
      <s:c r="C8" s="18">
        <s:f>C6+C7</s:f>
        <s:v>158100.0</s:v>
      </s:c>
      <s:c r="D8" s="18">
        <s:f>D6+D7</s:f>
        <s:v>161262.0</s:v>
      </s:c>
      <s:c r="E8" s="18">
        <s:f>E6+E7</s:f>
        <s:v>164487.24</s:v>
      </s:c>
      <s:c r="F8" s="18">
        <s:f>F6+F7</s:f>
        <s:v>167776.9848</s:v>
      </s:c>
    </s:row>
    <s:row r="9">
      <s:c r="A9" s="20" t="inlineStr">
        <s:is>
          <s:t>ზამთრის ფასი / Winter price (GEL/kg)</s:t>
        </s:is>
      </s:c>
      <s:c r="B9" s="33">
        <s:f>Assumptions!$B$13</s:f>
        <s:v>4.5</s:v>
      </s:c>
      <s:c r="C9" s="33">
        <s:f>B9*(1+Assumptions!$B$40)</s:f>
        <s:v>4.635</s:v>
      </s:c>
      <s:c r="D9" s="33">
        <s:f>C9*(1+Assumptions!$B$40)</s:f>
        <s:v>4.77405</s:v>
      </s:c>
      <s:c r="E9" s="33">
        <s:f>D9*(1+Assumptions!$B$40)</s:f>
        <s:v>4.9172715</s:v>
      </s:c>
      <s:c r="F9" s="33">
        <s:f>E9*(1+Assumptions!$B$40)</s:f>
        <s:v>5.064789645</s:v>
      </s:c>
    </s:row>
    <s:row r="10">
      <s:c r="A10" s="20" t="inlineStr">
        <s:is>
          <s:t>ზაფხულის ფასი / Summer price (GEL/kg)</s:t>
        </s:is>
      </s:c>
      <s:c r="B10" s="33">
        <s:f>Assumptions!$B$17</s:f>
        <s:v>3.0</s:v>
      </s:c>
      <s:c r="C10" s="33">
        <s:f>B10*(1+Assumptions!$B$40)</s:f>
        <s:v>3.09</s:v>
      </s:c>
      <s:c r="D10" s="33">
        <s:f>C10*(1+Assumptions!$B$40)</s:f>
        <s:v>3.1827</s:v>
      </s:c>
      <s:c r="E10" s="33">
        <s:f>D10*(1+Assumptions!$B$40)</s:f>
        <s:v>3.278181</s:v>
      </s:c>
      <s:c r="F10" s="33">
        <s:f>E10*(1+Assumptions!$B$40)</s:f>
        <s:v>3.37652643</s:v>
      </s:c>
    </s:row>
    <s:row r="12">
      <s:c r="A12" s="10" t="inlineStr">
        <s:is>
          <s:t>მოგება-ზარალი / PROFIT &amp; LOSS (GEL)</s:t>
        </s:is>
      </s:c>
      <s:c r="B12" s="11" t="n"/>
      <s:c r="C12" s="11" t="n"/>
      <s:c r="D12" s="11" t="n"/>
      <s:c r="E12" s="11" t="n"/>
      <s:c r="F12" s="11" t="n"/>
    </s:row>
    <s:row r="13">
      <s:c r="A13" s="20" t="inlineStr">
        <s:is>
          <s:t>ზამთრის შემოსავალი / Winter revenue</s:t>
        </s:is>
      </s:c>
      <s:c r="B13" s="21">
        <s:f>B6*B9</s:f>
        <s:v>382500.0</s:v>
      </s:c>
      <s:c r="C13" s="21">
        <s:f>C6*C9</s:f>
        <s:v>401854.5</s:v>
      </s:c>
      <s:c r="D13" s="21">
        <s:f>D6*D9</s:f>
        <s:v>422188.3377</s:v>
      </s:c>
      <s:c r="E13" s="21">
        <s:f>E6*E9</s:f>
        <s:v>443551.06758762005</s:v>
      </s:c>
      <s:c r="F13" s="21">
        <s:f>F6*F9</s:f>
        <s:v>465994.7516075536</s:v>
      </s:c>
    </s:row>
    <s:row r="14">
      <s:c r="A14" s="20" t="inlineStr">
        <s:is>
          <s:t>ზაფხულის შემოსავალი / Summer revenue</s:t>
        </s:is>
      </s:c>
      <s:c r="B14" s="21">
        <s:f>B7*B10</s:f>
        <s:v>210000.0</s:v>
      </s:c>
      <s:c r="C14" s="21">
        <s:f>C7*C10</s:f>
        <s:v>220626.0</s:v>
      </s:c>
      <s:c r="D14" s="21">
        <s:f>D7*D10</s:f>
        <s:v>231789.67560000002</s:v>
      </s:c>
      <s:c r="E14" s="21">
        <s:f>E7*E10</s:f>
        <s:v>243518.23318536</s:v>
      </s:c>
      <s:c r="F14" s="21">
        <s:f>F7*F10</s:f>
        <s:v>255840.25578453921</s:v>
      </s:c>
    </s:row>
    <s:row r="15">
      <s:c r="A15" s="26" t="inlineStr">
        <s:is>
          <s:t>სულ შემოსავალი / TOTAL REVENUE</s:t>
        </s:is>
      </s:c>
      <s:c r="B15" s="27">
        <s:f>B13+B14</s:f>
        <s:v>592500.0</s:v>
      </s:c>
      <s:c r="C15" s="27">
        <s:f>C13+C14</s:f>
        <s:v>622480.5</s:v>
      </s:c>
      <s:c r="D15" s="27">
        <s:f>D13+D14</s:f>
        <s:v>653978.0133</s:v>
      </s:c>
      <s:c r="E15" s="27">
        <s:f>E13+E14</s:f>
        <s:v>687069.3007729801</s:v>
      </s:c>
      <s:c r="F15" s="27">
        <s:f>F13+F14</s:f>
        <s:v>721835.0073920928</s:v>
      </s:c>
    </s:row>
    <s:row r="16">
      <s:c r="A16" s="67" t="inlineStr">
        <s:is>
          <s:t>საოპერაციო ხარჯი / Operating expenses</s:t>
        </s:is>
      </s:c>
      <s:c r="B16" s="52">
        <s:f>-CF_Monthly!$N$30</s:f>
        <s:v>-150000.0</s:v>
      </s:c>
      <s:c r="C16" s="52">
        <s:f>B16*(1+Assumptions!$B$41)</s:f>
        <s:v>-156000.0</s:v>
      </s:c>
      <s:c r="D16" s="52">
        <s:f>C16*(1+Assumptions!$B$41)</s:f>
        <s:v>-162240.0</s:v>
      </s:c>
      <s:c r="E16" s="52">
        <s:f>D16*(1+Assumptions!$B$41)</s:f>
        <s:v>-168729.6</s:v>
      </s:c>
      <s:c r="F16" s="52">
        <s:f>E16*(1+Assumptions!$B$41)</s:f>
        <s:v>-175478.784</s:v>
      </s:c>
    </s:row>
    <s:row r="17">
      <s:c r="A17" s="26" t="inlineStr">
        <s:is>
          <s:t>EBITDA</s:t>
        </s:is>
      </s:c>
      <s:c r="B17" s="27">
        <s:f>B15+B16</s:f>
        <s:v>442500.0</s:v>
      </s:c>
      <s:c r="C17" s="27">
        <s:f>C15+C16</s:f>
        <s:v>466480.5</s:v>
      </s:c>
      <s:c r="D17" s="27">
        <s:f>D15+D16</s:f>
        <s:v>491738.0133</s:v>
      </s:c>
      <s:c r="E17" s="27">
        <s:f>E15+E16</s:f>
        <s:v>518339.7007729801</s:v>
      </s:c>
      <s:c r="F17" s="27">
        <s:f>F15+F16</s:f>
        <s:v>546356.2233920929</s:v>
      </s:c>
    </s:row>
    <s:row r="18">
      <s:c r="A18" s="20" t="inlineStr">
        <s:is>
          <s:t>EBITDA მარჟა / margin</s:t>
        </s:is>
      </s:c>
      <s:c r="B18" s="22">
        <s:f>IFERROR(B17/B15,0)</s:f>
        <s:v>0.7468354430379747</s:v>
      </s:c>
      <s:c r="C18" s="22">
        <s:f>IFERROR(C17/C15,0)</s:f>
        <s:v>0.7493897399195637</s:v>
      </s:c>
      <s:c r="D18" s="22">
        <s:f>IFERROR(D17/D15,0)</s:f>
        <s:v>0.7519182652925436</s:v>
      </s:c>
      <s:c r="E18" s="22">
        <s:f>IFERROR(E17/E15,0)</s:f>
        <s:v>0.7544212791778464</s:v>
      </s:c>
      <s:c r="F18" s="22">
        <s:f>IFERROR(F17/F15,0)</s:f>
        <s:v>0.75689903897293</s:v>
      </s:c>
    </s:row>
    <s:row r="20">
      <s:c r="A20" s="10" t="inlineStr">
        <s:is>
          <s:t>ვალის მომსახურება / DEBT SERVICE (GEL)</s:t>
        </s:is>
      </s:c>
      <s:c r="B20" s="11" t="n"/>
      <s:c r="C20" s="11" t="n"/>
      <s:c r="D20" s="11" t="n"/>
      <s:c r="E20" s="11" t="n"/>
      <s:c r="F20" s="11" t="n"/>
    </s:row>
    <s:row r="21">
      <s:c r="A21" s="67" t="inlineStr">
        <s:is>
          <s:t>სესხის პროცენტი, სააგენტოს გამოკლებით / Loan interest, net of agency</s:t>
        </s:is>
      </s:c>
      <s:c r="B21" s="52">
        <s:f>-SUMIF(Loan!$C$5:$C$124,Assumptions!$B$48+0,Loan!$G$5:$G$124)</s:f>
        <s:v>-10377.735785071218</s:v>
      </s:c>
      <s:c r="C21" s="52">
        <s:f>-SUMIF(Loan!$C$5:$C$124,Assumptions!$B$48+1,Loan!$G$5:$G$124)</s:f>
        <s:v>-13644.24326269929</s:v>
      </s:c>
      <s:c r="D21" s="52">
        <s:f>-SUMIF(Loan!$C$5:$C$124,Assumptions!$B$48+2,Loan!$G$5:$G$124)</s:f>
        <s:v>-12519.925437700906</s:v>
      </s:c>
      <s:c r="E21" s="52">
        <s:f>-SUMIF(Loan!$C$5:$C$124,Assumptions!$B$48+3,Loan!$G$5:$G$124)</s:f>
        <s:v>-62730.664248429326</s:v>
      </s:c>
      <s:c r="F21" s="52">
        <s:f>-SUMIF(Loan!$C$5:$C$124,Assumptions!$B$48+4,Loan!$G$5:$G$124)</s:f>
        <s:v>-54536.04985562658</s:v>
      </s:c>
    </s:row>
    <s:row r="22">
      <s:c r="A22" s="67" t="inlineStr">
        <s:is>
          <s:t>სესხის ძირი / Loan principal</s:t>
        </s:is>
      </s:c>
      <s:c r="B22" s="52">
        <s:f>-SUMIF(Loan!$C$5:$C$124,Assumptions!$B$48+0,Loan!$H$5:$H$124)</s:f>
        <s:v>-36790.9947854159</s:v>
      </s:c>
      <s:c r="C22" s="52">
        <s:f>-SUMIF(Loan!$C$5:$C$124,Assumptions!$B$48+1,Loan!$H$5:$H$124)</s:f>
        <s:v>-44038.62038216267</s:v>
      </s:c>
      <s:c r="D22" s="52">
        <s:f>-SUMIF(Loan!$C$5:$C$124,Assumptions!$B$48+2,Loan!$H$5:$H$124)</s:f>
        <s:v>-50316.06157173713</s:v>
      </s:c>
      <s:c r="E22" s="52">
        <s:f>-SUMIF(Loan!$C$5:$C$124,Assumptions!$B$48+3,Loan!$H$5:$H$124)</s:f>
        <s:v>-57488.31435047132</s:v>
      </s:c>
      <s:c r="F22" s="52">
        <s:f>-SUMIF(Loan!$C$5:$C$124,Assumptions!$B$48+4,Loan!$H$5:$H$124)</s:f>
        <s:v>-65682.92874327421</s:v>
      </s:c>
    </s:row>
    <s:row r="23">
      <s:c r="A23" s="17" t="inlineStr">
        <s:is>
          <s:t>სულ ვალის მომსახურება / Total debt service</s:t>
        </s:is>
      </s:c>
      <s:c r="B23" s="18">
        <s:f>-(B21+B22)</s:f>
        <s:v>47168.730570487125</s:v>
      </s:c>
      <s:c r="C23" s="18">
        <s:f>-(C21+C22)</s:f>
        <s:v>57682.86364486196</s:v>
      </s:c>
      <s:c r="D23" s="18">
        <s:f>-(D21+D22)</s:f>
        <s:v>62835.98700943804</s:v>
      </s:c>
      <s:c r="E23" s="18">
        <s:f>-(E21+E22)</s:f>
        <s:v>120218.97859890065</s:v>
      </s:c>
      <s:c r="F23" s="18">
        <s:f>-(F21+F22)</s:f>
        <s:v>120218.9785989008</s:v>
      </s:c>
    </s:row>
    <s:row r="24">
      <s:c r="A24" s="67" t="inlineStr">
        <s:is>
          <s:t>ნაშთი წლის ბოლოს / Loan balance, year-end</s:t>
        </s:is>
      </s:c>
      <s:c r="B24" s="52">
        <s:f>INDEX(Loan!$J$5:$J$124,MATCH((Assumptions!$B$48+0)*12,Loan!$A$5:$A$124,0))</s:f>
        <s:v>588209.0052145841</s:v>
      </s:c>
      <s:c r="C24" s="52">
        <s:f>INDEX(Loan!$J$5:$J$124,MATCH((Assumptions!$B$48+1)*12,Loan!$A$5:$A$124,0))</s:f>
        <s:v>544170.3848324217</s:v>
      </s:c>
      <s:c r="D24" s="52">
        <s:f>INDEX(Loan!$J$5:$J$124,MATCH((Assumptions!$B$48+2)*12,Loan!$A$5:$A$124,0))</s:f>
        <s:v>493854.3232606846</s:v>
      </s:c>
      <s:c r="E24" s="52">
        <s:f>INDEX(Loan!$J$5:$J$124,MATCH((Assumptions!$B$48+3)*12,Loan!$A$5:$A$124,0))</s:f>
        <s:v>436366.00891021336</s:v>
      </s:c>
      <s:c r="F24" s="52">
        <s:f>INDEX(Loan!$J$5:$J$124,MATCH((Assumptions!$B$48+4)*12,Loan!$A$5:$A$124,0))</s:f>
        <s:v>370683.0801669391</s:v>
      </s:c>
    </s:row>
    <s:row r="26">
      <s:c r="A26" s="10" t="inlineStr">
        <s:is>
          <s:t>ფულადი ნაკადი / CASH FLOW (GEL)</s:t>
        </s:is>
      </s:c>
      <s:c r="B26" s="11" t="n"/>
      <s:c r="C26" s="11" t="n"/>
      <s:c r="D26" s="11" t="n"/>
      <s:c r="E26" s="11" t="n"/>
      <s:c r="F26" s="11" t="n"/>
    </s:row>
    <s:row r="27">
      <s:c r="A27" s="20" t="inlineStr">
        <s:is>
          <s:t>მოგების გადასახადი / Profit tax</s:t>
        </s:is>
      </s:c>
      <s:c r="B27" s="21">
        <s:f>-MAX(0,B17+B21)*Assumptions!$B$44</s:f>
        <s:v>-0.0</s:v>
      </s:c>
      <s:c r="C27" s="21">
        <s:f>-MAX(0,C17+C21)*Assumptions!$B$44</s:f>
        <s:v>-0.0</s:v>
      </s:c>
      <s:c r="D27" s="21">
        <s:f>-MAX(0,D17+D21)*Assumptions!$B$44</s:f>
        <s:v>-0.0</s:v>
      </s:c>
      <s:c r="E27" s="21">
        <s:f>-MAX(0,E17+E21)*Assumptions!$B$44</s:f>
        <s:v>-0.0</s:v>
      </s:c>
      <s:c r="F27" s="21">
        <s:f>-MAX(0,F17+F21)*Assumptions!$B$44</s:f>
        <s:v>-0.0</s:v>
      </s:c>
    </s:row>
    <s:row r="28">
      <s:c r="A28" s="67" t="inlineStr">
        <s:is>
          <s:t>საინვესტიციო/საფინანსო / Investing &amp; financing</s:t>
        </s:is>
      </s:c>
      <s:c r="B28" s="52">
        <s:f>CF_Monthly!$N$40+CF_Monthly!$N$41</s:f>
        <s:v>0.0</s:v>
      </s:c>
      <s:c r="C28" s="52">
        <s:f>0</s:f>
        <s:v>0.0</s:v>
      </s:c>
      <s:c r="D28" s="52">
        <s:f>0</s:f>
        <s:v>0.0</s:v>
      </s:c>
      <s:c r="E28" s="52">
        <s:f>0</s:f>
        <s:v>0.0</s:v>
      </s:c>
      <s:c r="F28" s="52">
        <s:f>0</s:f>
        <s:v>0.0</s:v>
      </s:c>
    </s:row>
    <s:row r="29">
      <s:c r="A29" s="26" t="inlineStr">
        <s:is>
          <s:t>წმინდა ფულადი ნაკადი / NET CASH FLOW</s:t>
        </s:is>
      </s:c>
      <s:c r="B29" s="27">
        <s:f>B17+B21+B22+B27+B28</s:f>
        <s:v>395331.2694295129</s:v>
      </s:c>
      <s:c r="C29" s="27">
        <s:f>C17+C21+C22+C27+C28</s:f>
        <s:v>408797.63635513803</s:v>
      </s:c>
      <s:c r="D29" s="27">
        <s:f>D17+D21+D22+D27+D28</s:f>
        <s:v>428902.02629056195</s:v>
      </s:c>
      <s:c r="E29" s="27">
        <s:f>E17+E21+E22+E27+E28</s:f>
        <s:v>398120.72217407945</s:v>
      </s:c>
      <s:c r="F29" s="27">
        <s:f>F17+F21+F22+F27+F28</s:f>
        <s:v>426137.244793192</s:v>
      </s:c>
    </s:row>
    <s:row r="30">
      <s:c r="A30" s="17" t="inlineStr">
        <s:is>
          <s:t>კუმულატიური / Cumulative</s:t>
        </s:is>
      </s:c>
      <s:c r="B30" s="18">
        <s:f>Assumptions!$B$45+B29</s:f>
        <s:v>395331.2694295129</s:v>
      </s:c>
      <s:c r="C30" s="18">
        <s:f>B30+C29</s:f>
        <s:v>804128.9057846509</s:v>
      </s:c>
      <s:c r="D30" s="18">
        <s:f>C30+D29</s:f>
        <s:v>1233030.932075213</s:v>
      </s:c>
      <s:c r="E30" s="18">
        <s:f>D30+E29</s:f>
        <s:v>1631151.6542492923</s:v>
      </s:c>
      <s:c r="F30" s="18">
        <s:f>E30+F29</s:f>
        <s:v>2057288.8990424844</s:v>
      </s:c>
    </s:row>
    <s:row r="32">
      <s:c r="A32" s="10" t="inlineStr">
        <s:is>
          <s:t>მაჩვენებლები / METRICS</s:t>
        </s:is>
      </s:c>
      <s:c r="B32" s="11" t="n"/>
      <s:c r="C32" s="11" t="n"/>
      <s:c r="D32" s="11" t="n"/>
      <s:c r="E32" s="11" t="n"/>
      <s:c r="F32" s="11" t="n"/>
    </s:row>
    <s:row r="33">
      <s:c r="A33" s="17" t="inlineStr">
        <s:is>
          <s:t>DSCR (EBITDA / ვალის მომსახურება)</s:t>
        </s:is>
      </s:c>
      <s:c r="B33" s="71">
        <s:f>IFERROR(B17/B23,0)</s:f>
        <s:v>9.381214941511837</s:v>
      </s:c>
      <s:c r="C33" s="71">
        <s:f>IFERROR(C17/C23,0)</s:f>
        <s:v>8.086985813880467</s:v>
      </s:c>
      <s:c r="D33" s="71">
        <s:f>IFERROR(D17/D23,0)</s:f>
        <s:v>7.825738668291156</s:v>
      </s:c>
      <s:c r="E33" s="71">
        <s:f>IFERROR(E17/E23,0)</s:f>
        <s:v>4.311629551456862</s:v>
      </s:c>
      <s:c r="F33" s="71">
        <s:f>IFERROR(F17/F23,0)</s:f>
        <s:v>4.544675306342092</s:v>
      </s:c>
    </s:row>
    <s:row r="34">
      <s:c r="A34" s="20" t="inlineStr">
        <s:is>
          <s:t>OPEX / შემოსავალი</s:t>
        </s:is>
      </s:c>
      <s:c r="B34" s="22">
        <s:f>IFERROR(-B16/B15,0)</s:f>
        <s:v>0.25316455696202533</s:v>
      </s:c>
      <s:c r="C34" s="22">
        <s:f>IFERROR(-C16/C15,0)</s:f>
        <s:v>0.25061026008043624</s:v>
      </s:c>
      <s:c r="D34" s="22">
        <s:f>IFERROR(-D16/D15,0)</s:f>
        <s:v>0.24808173470745642</s:v>
      </s:c>
      <s:c r="E34" s="22">
        <s:f>IFERROR(-E16/E15,0)</s:f>
        <s:v>0.24557872082215368</s:v>
      </s:c>
      <s:c r="F34" s="22">
        <s:f>IFERROR(-F16/F15,0)</s:f>
        <s:v>0.2431009610270701</s:v>
      </s:c>
    </s:row>
    <s:row r="35">
      <s:c r="A35" s="20" t="inlineStr">
        <s:is>
          <s:t>შემოსავალი 1 m²-ზე / Revenue per m²</s:t>
        </s:is>
      </s:c>
      <s:c r="B35" s="33">
        <s:f>B15/Assumptions!$B$6</s:f>
        <s:v>296.25</s:v>
      </s:c>
      <s:c r="C35" s="33">
        <s:f>C15/Assumptions!$B$6</s:f>
        <s:v>311.24025</s:v>
      </s:c>
      <s:c r="D35" s="33">
        <s:f>D15/Assumptions!$B$6</s:f>
        <s:v>326.98900665</s:v>
      </s:c>
      <s:c r="E35" s="33">
        <s:f>E15/Assumptions!$B$6</s:f>
        <s:v>343.53465038649006</s:v>
      </s:c>
      <s:c r="F35" s="33">
        <s:f>F15/Assumptions!$B$6</s:f>
        <s:v>360.9175036960464</s:v>
      </s:c>
    </s:row>
    <s:row r="36">
      <s:c r="A36" s="20" t="inlineStr">
        <s:is>
          <s:t>თვითღირებულება 1 კგ-ზე / Cash cost per kg</s:t>
        </s:is>
      </s:c>
      <s:c r="B36" s="33">
        <s:f>IFERROR(-B16/B8,0)</s:f>
        <s:v>0.967741935483871</s:v>
      </s:c>
      <s:c r="C36" s="33">
        <s:f>IFERROR(-C16/C8,0)</s:f>
        <s:v>0.9867172675521821</s:v>
      </s:c>
      <s:c r="D36" s="33">
        <s:f>IFERROR(-D16/D8,0)</s:f>
        <s:v>1.006064664955166</s:v>
      </s:c>
      <s:c r="E36" s="33">
        <s:f>IFERROR(-E16/E8,0)</s:f>
        <s:v>1.025791423091542</s:v>
      </s:c>
      <s:c r="F36" s="33">
        <s:f>IFERROR(-F16/F8,0)</s:f>
        <s:v>1.0459049804070624</s:v>
      </s:c>
    </s:row>
    <s:row r="38">
      <s:c r="A38" s="3" t="inlineStr">
        <s:is>
          <s:t>შემოწმება — წელი 1 ემთხვევა CF_Monthly-ს / Check — Year 1 ties to CF_Monthly (must be 0)</s:t>
        </s:is>
      </s:c>
      <s:c r="B38" s="68">
        <s:f>B29-CF_Monthly!$N$43</s:f>
        <s:v>0.0</s:v>
      </s:c>
    </s:row>
  </s:sheetData>
  <s:pageMargins left="0.75" right="0.75" top="1" bottom="1" header="0.5" footer="0.5"/>
</s:worksheet>
</file>

<file path=xl/worksheets/sheet8.xml><?xml version="1.0" encoding="utf-8"?>
<s:worksheet xmlns:s="http://schemas.openxmlformats.org/spreadsheetml/2006/main">
  <s:sheetPr>
    <s:outlinePr summaryBelow="1" summaryRight="1"/>
    <s:pageSetUpPr/>
  </s:sheetPr>
  <s:dimension ref="A1:G31"/>
  <s:sheetViews>
    <s:sheetView showGridLines="0" workbookViewId="0">
      <s:selection activeCell="A1" sqref="A1"/>
    </s:sheetView>
  </s:sheetViews>
  <s:sheetFormatPr baseColWidth="8" defaultRowHeight="15"/>
  <s:cols>
    <s:col width="34" customWidth="1" min="1" max="1"/>
    <s:col width="15" customWidth="1" min="2" max="2"/>
    <s:col width="15" customWidth="1" min="3" max="3"/>
    <s:col width="15" customWidth="1" min="4" max="4"/>
    <s:col width="15" customWidth="1" min="5" max="5"/>
    <s:col width="15" customWidth="1" min="6" max="6"/>
    <s:col width="15" customWidth="1" min="7" max="7"/>
  </s:cols>
  <s:sheetData>
    <s:row r="1">
      <s:c r="A1" s="1" t="inlineStr">
        <s:is>
          <s:t>მგრძნობელობა და წაგება-მოგების ზღვარი / SENSITIVITY &amp; BREAK-EVEN</s:t>
        </s:is>
      </s:c>
    </s:row>
    <s:row r="2">
      <s:c r="A2" s="2" t="inlineStr">
        <s:is>
          <s:t>წელი 1 / Year 1 · ყველა თანხა GEL-ში / all amounts in GEL</s:t>
        </s:is>
      </s:c>
    </s:row>
    <s:row r="4">
      <s:c r="A4" s="10" t="inlineStr">
        <s:is>
          <s:t>ცხრილი 1 — წმინდა ფულადი ნაკადი / TABLE 1 — Net cash flow after debt service</s:t>
        </s:is>
      </s:c>
      <s:c r="B4" s="11" t="n"/>
      <s:c r="C4" s="11" t="n"/>
      <s:c r="D4" s="11" t="n"/>
      <s:c r="E4" s="11" t="n"/>
      <s:c r="F4" s="11" t="n"/>
      <s:c r="G4" s="11" t="n"/>
    </s:row>
    <s:row r="5">
      <s:c r="A5" s="12" t="inlineStr">
        <s:is>
          <s:t>მოსავალი ↓ / ფასი → | Yield ↓ / Price →</s:t>
        </s:is>
      </s:c>
      <s:c r="B5" s="72" t="n">
        <s:v>-0.2</s:v>
      </s:c>
      <s:c r="C5" s="72" t="n">
        <s:v>-0.1</s:v>
      </s:c>
      <s:c r="D5" s="72" t="n">
        <s:v>0</s:v>
      </s:c>
      <s:c r="E5" s="72" t="n">
        <s:v>0.1</s:v>
      </s:c>
      <s:c r="F5" s="72" t="n">
        <s:v>0.2</s:v>
      </s:c>
    </s:row>
    <s:row r="6">
      <s:c r="A6" s="72" t="n">
        <s:v>-0.2</s:v>
      </s:c>
      <s:c r="B6" s="21">
        <s:f>(Assumptions!$B$11*(1+$A6)*Assumptions!$B$13*(1+B$5)+Assumptions!$B$15*(1+$A6)*Assumptions!$B$17*(1+B$5))-CF_Monthly!$N$30-CF_Monthly!$N$36</s:f>
        <s:v>182031.26942951287</s:v>
      </s:c>
      <s:c r="C6" s="21">
        <s:f>(Assumptions!$B$11*(1+$A6)*Assumptions!$B$13*(1+C$5)+Assumptions!$B$15*(1+$A6)*Assumptions!$B$17*(1+C$5))-CF_Monthly!$N$30-CF_Monthly!$N$36</s:f>
        <s:v>229431.26942951287</s:v>
      </s:c>
      <s:c r="D6" s="21">
        <s:f>(Assumptions!$B$11*(1+$A6)*Assumptions!$B$13*(1+D$5)+Assumptions!$B$15*(1+$A6)*Assumptions!$B$17*(1+D$5))-CF_Monthly!$N$30-CF_Monthly!$N$36</s:f>
        <s:v>276831.2694295129</s:v>
      </s:c>
      <s:c r="E6" s="21">
        <s:f>(Assumptions!$B$11*(1+$A6)*Assumptions!$B$13*(1+E$5)+Assumptions!$B$15*(1+$A6)*Assumptions!$B$17*(1+E$5))-CF_Monthly!$N$30-CF_Monthly!$N$36</s:f>
        <s:v>324231.2694295129</s:v>
      </s:c>
      <s:c r="F6" s="21">
        <s:f>(Assumptions!$B$11*(1+$A6)*Assumptions!$B$13*(1+F$5)+Assumptions!$B$15*(1+$A6)*Assumptions!$B$17*(1+F$5))-CF_Monthly!$N$30-CF_Monthly!$N$36</s:f>
        <s:v>371631.2694295129</s:v>
      </s:c>
    </s:row>
    <s:row r="7">
      <s:c r="A7" s="72" t="n">
        <s:v>-0.1</s:v>
      </s:c>
      <s:c r="B7" s="21">
        <s:f>(Assumptions!$B$11*(1+$A7)*Assumptions!$B$13*(1+B$5)+Assumptions!$B$15*(1+$A7)*Assumptions!$B$17*(1+B$5))-CF_Monthly!$N$30-CF_Monthly!$N$36</s:f>
        <s:v>229431.26942951287</s:v>
      </s:c>
      <s:c r="C7" s="21">
        <s:f>(Assumptions!$B$11*(1+$A7)*Assumptions!$B$13*(1+C$5)+Assumptions!$B$15*(1+$A7)*Assumptions!$B$17*(1+C$5))-CF_Monthly!$N$30-CF_Monthly!$N$36</s:f>
        <s:v>282756.2694295129</s:v>
      </s:c>
      <s:c r="D7" s="21">
        <s:f>(Assumptions!$B$11*(1+$A7)*Assumptions!$B$13*(1+D$5)+Assumptions!$B$15*(1+$A7)*Assumptions!$B$17*(1+D$5))-CF_Monthly!$N$30-CF_Monthly!$N$36</s:f>
        <s:v>336081.2694295129</s:v>
      </s:c>
      <s:c r="E7" s="21">
        <s:f>(Assumptions!$B$11*(1+$A7)*Assumptions!$B$13*(1+E$5)+Assumptions!$B$15*(1+$A7)*Assumptions!$B$17*(1+E$5))-CF_Monthly!$N$30-CF_Monthly!$N$36</s:f>
        <s:v>389406.269429513</s:v>
      </s:c>
      <s:c r="F7" s="21">
        <s:f>(Assumptions!$B$11*(1+$A7)*Assumptions!$B$13*(1+F$5)+Assumptions!$B$15*(1+$A7)*Assumptions!$B$17*(1+F$5))-CF_Monthly!$N$30-CF_Monthly!$N$36</s:f>
        <s:v>442731.2694295129</s:v>
      </s:c>
    </s:row>
    <s:row r="8">
      <s:c r="A8" s="72" t="n">
        <s:v>0</s:v>
      </s:c>
      <s:c r="B8" s="21">
        <s:f>(Assumptions!$B$11*(1+$A8)*Assumptions!$B$13*(1+B$5)+Assumptions!$B$15*(1+$A8)*Assumptions!$B$17*(1+B$5))-CF_Monthly!$N$30-CF_Monthly!$N$36</s:f>
        <s:v>276831.2694295129</s:v>
      </s:c>
      <s:c r="C8" s="21">
        <s:f>(Assumptions!$B$11*(1+$A8)*Assumptions!$B$13*(1+C$5)+Assumptions!$B$15*(1+$A8)*Assumptions!$B$17*(1+C$5))-CF_Monthly!$N$30-CF_Monthly!$N$36</s:f>
        <s:v>336081.2694295129</s:v>
      </s:c>
      <s:c r="D8" s="21">
        <s:f>(Assumptions!$B$11*(1+$A8)*Assumptions!$B$13*(1+D$5)+Assumptions!$B$15*(1+$A8)*Assumptions!$B$17*(1+D$5))-CF_Monthly!$N$30-CF_Monthly!$N$36</s:f>
        <s:v>395331.2694295129</s:v>
      </s:c>
      <s:c r="E8" s="21">
        <s:f>(Assumptions!$B$11*(1+$A8)*Assumptions!$B$13*(1+E$5)+Assumptions!$B$15*(1+$A8)*Assumptions!$B$17*(1+E$5))-CF_Monthly!$N$30-CF_Monthly!$N$36</s:f>
        <s:v>454581.269429513</s:v>
      </s:c>
      <s:c r="F8" s="21">
        <s:f>(Assumptions!$B$11*(1+$A8)*Assumptions!$B$13*(1+F$5)+Assumptions!$B$15*(1+$A8)*Assumptions!$B$17*(1+F$5))-CF_Monthly!$N$30-CF_Monthly!$N$36</s:f>
        <s:v>513831.2694295129</s:v>
      </s:c>
    </s:row>
    <s:row r="9">
      <s:c r="A9" s="72" t="n">
        <s:v>0.1</s:v>
      </s:c>
      <s:c r="B9" s="21">
        <s:f>(Assumptions!$B$11*(1+$A9)*Assumptions!$B$13*(1+B$5)+Assumptions!$B$15*(1+$A9)*Assumptions!$B$17*(1+B$5))-CF_Monthly!$N$30-CF_Monthly!$N$36</s:f>
        <s:v>324231.2694295129</s:v>
      </s:c>
      <s:c r="C9" s="21">
        <s:f>(Assumptions!$B$11*(1+$A9)*Assumptions!$B$13*(1+C$5)+Assumptions!$B$15*(1+$A9)*Assumptions!$B$17*(1+C$5))-CF_Monthly!$N$30-CF_Monthly!$N$36</s:f>
        <s:v>389406.2694295129</s:v>
      </s:c>
      <s:c r="D9" s="21">
        <s:f>(Assumptions!$B$11*(1+$A9)*Assumptions!$B$13*(1+D$5)+Assumptions!$B$15*(1+$A9)*Assumptions!$B$17*(1+D$5))-CF_Monthly!$N$30-CF_Monthly!$N$36</s:f>
        <s:v>454581.2694295129</s:v>
      </s:c>
      <s:c r="E9" s="21">
        <s:f>(Assumptions!$B$11*(1+$A9)*Assumptions!$B$13*(1+E$5)+Assumptions!$B$15*(1+$A9)*Assumptions!$B$17*(1+E$5))-CF_Monthly!$N$30-CF_Monthly!$N$36</s:f>
        <s:v>519756.269429513</s:v>
      </s:c>
      <s:c r="F9" s="21">
        <s:f>(Assumptions!$B$11*(1+$A9)*Assumptions!$B$13*(1+F$5)+Assumptions!$B$15*(1+$A9)*Assumptions!$B$17*(1+F$5))-CF_Monthly!$N$30-CF_Monthly!$N$36</s:f>
        <s:v>584931.2694295129</s:v>
      </s:c>
    </s:row>
    <s:row r="10">
      <s:c r="A10" s="72" t="n">
        <s:v>0.2</s:v>
      </s:c>
      <s:c r="B10" s="21">
        <s:f>(Assumptions!$B$11*(1+$A10)*Assumptions!$B$13*(1+B$5)+Assumptions!$B$15*(1+$A10)*Assumptions!$B$17*(1+B$5))-CF_Monthly!$N$30-CF_Monthly!$N$36</s:f>
        <s:v>371631.2694295129</s:v>
      </s:c>
      <s:c r="C10" s="21">
        <s:f>(Assumptions!$B$11*(1+$A10)*Assumptions!$B$13*(1+C$5)+Assumptions!$B$15*(1+$A10)*Assumptions!$B$17*(1+C$5))-CF_Monthly!$N$30-CF_Monthly!$N$36</s:f>
        <s:v>442731.2694295129</s:v>
      </s:c>
      <s:c r="D10" s="21">
        <s:f>(Assumptions!$B$11*(1+$A10)*Assumptions!$B$13*(1+D$5)+Assumptions!$B$15*(1+$A10)*Assumptions!$B$17*(1+D$5))-CF_Monthly!$N$30-CF_Monthly!$N$36</s:f>
        <s:v>513831.2694295129</s:v>
      </s:c>
      <s:c r="E10" s="21">
        <s:f>(Assumptions!$B$11*(1+$A10)*Assumptions!$B$13*(1+E$5)+Assumptions!$B$15*(1+$A10)*Assumptions!$B$17*(1+E$5))-CF_Monthly!$N$30-CF_Monthly!$N$36</s:f>
        <s:v>584931.2694295129</s:v>
      </s:c>
      <s:c r="F10" s="21">
        <s:f>(Assumptions!$B$11*(1+$A10)*Assumptions!$B$13*(1+F$5)+Assumptions!$B$15*(1+$A10)*Assumptions!$B$17*(1+F$5))-CF_Monthly!$N$30-CF_Monthly!$N$36</s:f>
        <s:v>656031.2694295129</s:v>
      </s:c>
    </s:row>
    <s:row r="12">
      <s:c r="A12" s="10" t="inlineStr">
        <s:is>
          <s:t>ცხრილი 2 — DSCR / TABLE 2 — Debt service coverage ratio</s:t>
        </s:is>
      </s:c>
      <s:c r="B12" s="11" t="n"/>
      <s:c r="C12" s="11" t="n"/>
      <s:c r="D12" s="11" t="n"/>
      <s:c r="E12" s="11" t="n"/>
      <s:c r="F12" s="11" t="n"/>
      <s:c r="G12" s="11" t="n"/>
    </s:row>
    <s:row r="13">
      <s:c r="A13" s="12" t="inlineStr">
        <s:is>
          <s:t>მოსავალი ↓ / ფასი →</s:t>
        </s:is>
      </s:c>
      <s:c r="B13" s="72" t="n">
        <s:v>-0.2</s:v>
      </s:c>
      <s:c r="C13" s="72" t="n">
        <s:v>-0.1</s:v>
      </s:c>
      <s:c r="D13" s="72" t="n">
        <s:v>0</s:v>
      </s:c>
      <s:c r="E13" s="72" t="n">
        <s:v>0.1</s:v>
      </s:c>
      <s:c r="F13" s="72" t="n">
        <s:v>0.2</s:v>
      </s:c>
    </s:row>
    <s:row r="14">
      <s:c r="A14" s="72" t="n">
        <s:v>-0.2</s:v>
      </s:c>
      <s:c r="B14" s="73">
        <s:f>IFERROR(((Assumptions!$B$11*(1+$A14)*Assumptions!$B$13*(1+B$13)+Assumptions!$B$15*(1+$A14)*Assumptions!$B$17*(1+B$13))-CF_Monthly!$N$30)/CF_Monthly!$N$36,0)</s:f>
        <s:v>4.859151332416979</s:v>
      </s:c>
      <s:c r="C14" s="73">
        <s:f>IFERROR(((Assumptions!$B$11*(1+$A14)*Assumptions!$B$13*(1+C$13)+Assumptions!$B$15*(1+$A14)*Assumptions!$B$17*(1+C$13))-CF_Monthly!$N$30)/CF_Monthly!$N$36,0)</s:f>
        <s:v>5.864054356660281</s:v>
      </s:c>
      <s:c r="D14" s="73">
        <s:f>IFERROR(((Assumptions!$B$11*(1+$A14)*Assumptions!$B$13*(1+D$13)+Assumptions!$B$15*(1+$A14)*Assumptions!$B$17*(1+D$13))-CF_Monthly!$N$30)/CF_Monthly!$N$36,0)</s:f>
        <s:v>6.868957380903582</s:v>
      </s:c>
      <s:c r="E14" s="73">
        <s:f>IFERROR(((Assumptions!$B$11*(1+$A14)*Assumptions!$B$13*(1+E$13)+Assumptions!$B$15*(1+$A14)*Assumptions!$B$17*(1+E$13))-CF_Monthly!$N$30)/CF_Monthly!$N$36,0)</s:f>
        <s:v>7.873860405146885</s:v>
      </s:c>
      <s:c r="F14" s="73">
        <s:f>IFERROR(((Assumptions!$B$11*(1+$A14)*Assumptions!$B$13*(1+F$13)+Assumptions!$B$15*(1+$A14)*Assumptions!$B$17*(1+F$13))-CF_Monthly!$N$30)/CF_Monthly!$N$36,0)</s:f>
        <s:v>8.878763429390187</s:v>
      </s:c>
    </s:row>
    <s:row r="15">
      <s:c r="A15" s="72" t="n">
        <s:v>-0.1</s:v>
      </s:c>
      <s:c r="B15" s="73">
        <s:f>IFERROR(((Assumptions!$B$11*(1+$A15)*Assumptions!$B$13*(1+B$13)+Assumptions!$B$15*(1+$A15)*Assumptions!$B$17*(1+B$13))-CF_Monthly!$N$30)/CF_Monthly!$N$36,0)</s:f>
        <s:v>5.864054356660281</s:v>
      </s:c>
      <s:c r="C15" s="73">
        <s:f>IFERROR(((Assumptions!$B$11*(1+$A15)*Assumptions!$B$13*(1+C$13)+Assumptions!$B$15*(1+$A15)*Assumptions!$B$17*(1+C$13))-CF_Monthly!$N$30)/CF_Monthly!$N$36,0)</s:f>
        <s:v>6.9945702589339955</s:v>
      </s:c>
      <s:c r="D15" s="73">
        <s:f>IFERROR(((Assumptions!$B$11*(1+$A15)*Assumptions!$B$13*(1+D$13)+Assumptions!$B$15*(1+$A15)*Assumptions!$B$17*(1+D$13))-CF_Monthly!$N$30)/CF_Monthly!$N$36,0)</s:f>
        <s:v>8.12508616120771</s:v>
      </s:c>
      <s:c r="E15" s="73">
        <s:f>IFERROR(((Assumptions!$B$11*(1+$A15)*Assumptions!$B$13*(1+E$13)+Assumptions!$B$15*(1+$A15)*Assumptions!$B$17*(1+E$13))-CF_Monthly!$N$30)/CF_Monthly!$N$36,0)</s:f>
        <s:v>9.255602063481428</s:v>
      </s:c>
      <s:c r="F15" s="73">
        <s:f>IFERROR(((Assumptions!$B$11*(1+$A15)*Assumptions!$B$13*(1+F$13)+Assumptions!$B$15*(1+$A15)*Assumptions!$B$17*(1+F$13))-CF_Monthly!$N$30)/CF_Monthly!$N$36,0)</s:f>
        <s:v>10.38611796575514</s:v>
      </s:c>
    </s:row>
    <s:row r="16">
      <s:c r="A16" s="72" t="n">
        <s:v>0</s:v>
      </s:c>
      <s:c r="B16" s="73">
        <s:f>IFERROR(((Assumptions!$B$11*(1+$A16)*Assumptions!$B$13*(1+B$13)+Assumptions!$B$15*(1+$A16)*Assumptions!$B$17*(1+B$13))-CF_Monthly!$N$30)/CF_Monthly!$N$36,0)</s:f>
        <s:v>6.868957380903582</s:v>
      </s:c>
      <s:c r="C16" s="73">
        <s:f>IFERROR(((Assumptions!$B$11*(1+$A16)*Assumptions!$B$13*(1+C$13)+Assumptions!$B$15*(1+$A16)*Assumptions!$B$17*(1+C$13))-CF_Monthly!$N$30)/CF_Monthly!$N$36,0)</s:f>
        <s:v>8.12508616120771</s:v>
      </s:c>
      <s:c r="D16" s="73">
        <s:f>IFERROR(((Assumptions!$B$11*(1+$A16)*Assumptions!$B$13*(1+D$13)+Assumptions!$B$15*(1+$A16)*Assumptions!$B$17*(1+D$13))-CF_Monthly!$N$30)/CF_Monthly!$N$36,0)</s:f>
        <s:v>9.381214941511837</s:v>
      </s:c>
      <s:c r="E16" s="73">
        <s:f>IFERROR(((Assumptions!$B$11*(1+$A16)*Assumptions!$B$13*(1+E$13)+Assumptions!$B$15*(1+$A16)*Assumptions!$B$17*(1+E$13))-CF_Monthly!$N$30)/CF_Monthly!$N$36,0)</s:f>
        <s:v>10.637343721815968</s:v>
      </s:c>
      <s:c r="F16" s="73">
        <s:f>IFERROR(((Assumptions!$B$11*(1+$A16)*Assumptions!$B$13*(1+F$13)+Assumptions!$B$15*(1+$A16)*Assumptions!$B$17*(1+F$13))-CF_Monthly!$N$30)/CF_Monthly!$N$36,0)</s:f>
        <s:v>11.893472502120092</s:v>
      </s:c>
    </s:row>
    <s:row r="17">
      <s:c r="A17" s="72" t="n">
        <s:v>0.1</s:v>
      </s:c>
      <s:c r="B17" s="73">
        <s:f>IFERROR(((Assumptions!$B$11*(1+$A17)*Assumptions!$B$13*(1+B$13)+Assumptions!$B$15*(1+$A17)*Assumptions!$B$17*(1+B$13))-CF_Monthly!$N$30)/CF_Monthly!$N$36,0)</s:f>
        <s:v>7.873860405146886</s:v>
      </s:c>
      <s:c r="C17" s="73">
        <s:f>IFERROR(((Assumptions!$B$11*(1+$A17)*Assumptions!$B$13*(1+C$13)+Assumptions!$B$15*(1+$A17)*Assumptions!$B$17*(1+C$13))-CF_Monthly!$N$30)/CF_Monthly!$N$36,0)</s:f>
        <s:v>9.255602063481424</s:v>
      </s:c>
      <s:c r="D17" s="73">
        <s:f>IFERROR(((Assumptions!$B$11*(1+$A17)*Assumptions!$B$13*(1+D$13)+Assumptions!$B$15*(1+$A17)*Assumptions!$B$17*(1+D$13))-CF_Monthly!$N$30)/CF_Monthly!$N$36,0)</s:f>
        <s:v>10.637343721815965</s:v>
      </s:c>
      <s:c r="E17" s="73">
        <s:f>IFERROR(((Assumptions!$B$11*(1+$A17)*Assumptions!$B$13*(1+E$13)+Assumptions!$B$15*(1+$A17)*Assumptions!$B$17*(1+E$13))-CF_Monthly!$N$30)/CF_Monthly!$N$36,0)</s:f>
        <s:v>12.019085380150507</s:v>
      </s:c>
      <s:c r="F17" s="73">
        <s:f>IFERROR(((Assumptions!$B$11*(1+$A17)*Assumptions!$B$13*(1+F$13)+Assumptions!$B$15*(1+$A17)*Assumptions!$B$17*(1+F$13))-CF_Monthly!$N$30)/CF_Monthly!$N$36,0)</s:f>
        <s:v>13.400827038485046</s:v>
      </s:c>
    </s:row>
    <s:row r="18">
      <s:c r="A18" s="72" t="n">
        <s:v>0.2</s:v>
      </s:c>
      <s:c r="B18" s="73">
        <s:f>IFERROR(((Assumptions!$B$11*(1+$A18)*Assumptions!$B$13*(1+B$13)+Assumptions!$B$15*(1+$A18)*Assumptions!$B$17*(1+B$13))-CF_Monthly!$N$30)/CF_Monthly!$N$36,0)</s:f>
        <s:v>8.878763429390187</s:v>
      </s:c>
      <s:c r="C18" s="73">
        <s:f>IFERROR(((Assumptions!$B$11*(1+$A18)*Assumptions!$B$13*(1+C$13)+Assumptions!$B$15*(1+$A18)*Assumptions!$B$17*(1+C$13))-CF_Monthly!$N$30)/CF_Monthly!$N$36,0)</s:f>
        <s:v>10.38611796575514</s:v>
      </s:c>
      <s:c r="D18" s="73">
        <s:f>IFERROR(((Assumptions!$B$11*(1+$A18)*Assumptions!$B$13*(1+D$13)+Assumptions!$B$15*(1+$A18)*Assumptions!$B$17*(1+D$13))-CF_Monthly!$N$30)/CF_Monthly!$N$36,0)</s:f>
        <s:v>11.893472502120092</s:v>
      </s:c>
      <s:c r="E18" s="73">
        <s:f>IFERROR(((Assumptions!$B$11*(1+$A18)*Assumptions!$B$13*(1+E$13)+Assumptions!$B$15*(1+$A18)*Assumptions!$B$17*(1+E$13))-CF_Monthly!$N$30)/CF_Monthly!$N$36,0)</s:f>
        <s:v>13.400827038485046</s:v>
      </s:c>
      <s:c r="F18" s="73">
        <s:f>IFERROR(((Assumptions!$B$11*(1+$A18)*Assumptions!$B$13*(1+F$13)+Assumptions!$B$15*(1+$A18)*Assumptions!$B$17*(1+F$13))-CF_Monthly!$N$30)/CF_Monthly!$N$36,0)</s:f>
        <s:v>14.908181574849998</s:v>
      </s:c>
    </s:row>
    <s:row r="20">
      <s:c r="A20" s="10" t="inlineStr">
        <s:is>
          <s:t>წაგება-მოგების ზღვარი / BREAK-EVEN (Year 1)</s:t>
        </s:is>
      </s:c>
      <s:c r="B20" s="11" t="n"/>
      <s:c r="C20" s="11" t="n"/>
      <s:c r="D20" s="11" t="n"/>
      <s:c r="E20" s="11" t="n"/>
      <s:c r="F20" s="11" t="n"/>
      <s:c r="G20" s="11" t="n"/>
    </s:row>
    <s:row r="21">
      <s:c r="A21" s="20" t="inlineStr">
        <s:is>
          <s:t>საჭირო შემოსავალი (OPEX + ვალი) / Revenue needed to cover OPEX + debt service</s:t>
        </s:is>
      </s:c>
      <s:c r="B21" s="18">
        <s:f>CF_Monthly!$N$30+CF_Monthly!$N$36</s:f>
        <s:v>197168.73057048713</s:v>
      </s:c>
    </s:row>
    <s:row r="22">
      <s:c r="A22" s="20" t="inlineStr">
        <s:is>
          <s:t>ფაქტობრივი შემოსავალი / Actual revenue</s:t>
        </s:is>
      </s:c>
      <s:c r="B22" s="18">
        <s:f>CF_Monthly!$N$19</s:f>
        <s:v>592500.0</s:v>
      </s:c>
    </s:row>
    <s:row r="23">
      <s:c r="A23" s="20" t="inlineStr">
        <s:is>
          <s:t>უსაფრთხოების ზღვარი / Margin of safety</s:t>
        </s:is>
      </s:c>
      <s:c r="B23" s="19">
        <s:f>IFERROR((B22-B21)/B22,0)</s:f>
        <s:v>0.6672257711890514</s:v>
      </s:c>
    </s:row>
    <s:row r="24">
      <s:c r="A24" s="20" t="inlineStr">
        <s:is>
          <s:t>საჭირო საშუალო ფასი / Break-even blended price</s:t>
        </s:is>
      </s:c>
      <s:c r="B24" s="41">
        <s:f>IFERROR(B21/CF_Monthly!$N$13,0)</s:f>
        <s:v>1.2720563262612072</s:v>
      </s:c>
    </s:row>
    <s:row r="25">
      <s:c r="A25" s="20" t="inlineStr">
        <s:is>
          <s:t>ფაქტობრივი საშუალო ფასი / Actual blended price</s:t>
        </s:is>
      </s:c>
      <s:c r="B25" s="41">
        <s:f>Assumptions!$B$19</s:f>
        <s:v>3.8225806451612905</s:v>
      </s:c>
    </s:row>
    <s:row r="26">
      <s:c r="A26" s="20" t="inlineStr">
        <s:is>
          <s:t>საჭირო მოცულობა მოქმედ ფასებში / Break-even volume at current prices</s:t>
        </s:is>
      </s:c>
      <s:c r="B26" s="18">
        <s:f>IFERROR(B21/B25,0)</s:f>
        <s:v>51580.00546569705</s:v>
      </s:c>
    </s:row>
    <s:row r="27">
      <s:c r="A27" s="20" t="inlineStr">
        <s:is>
          <s:t>ფაქტობრივი მოცულობა / Actual volume</s:t>
        </s:is>
      </s:c>
      <s:c r="B27" s="18">
        <s:f>CF_Monthly!$N$13</s:f>
        <s:v>155000.0</s:v>
      </s:c>
    </s:row>
    <s:row r="28">
      <s:c r="A28" s="20" t="inlineStr">
        <s:is>
          <s:t>დასაშვები მოსავლის კლება / Yield cushion</s:t>
        </s:is>
      </s:c>
      <s:c r="B28" s="19">
        <s:f>IFERROR(1-B26/B27,0)</s:f>
        <s:v>0.6672257711890512</s:v>
      </s:c>
    </s:row>
    <s:row r="31">
      <s:c r="A31" s="2" t="inlineStr">
        <s:is>
          <s:t>ცხრილები ითვლის: შემოსავალი (მოსავალი × ფასი) − OPEX − ვალის მომსახურება. ვალის მომსახურება და OPEX ფიქსირებულია. / The tables compute revenue (yield × price) − OPEX − debt service, holding OPEX and debt service fixed.</s:t>
        </s:is>
      </s:c>
    </s:row>
  </s:sheetData>
  <s:pageMargins left="0.75" right="0.75" top="1" bottom="1" header="0.5" footer="0.5"/>
</s:worksheet>
</file>

<file path=xl/worksheets/sheet9.xml><?xml version="1.0" encoding="utf-8"?>
<s:worksheet xmlns:s="http://schemas.openxmlformats.org/spreadsheetml/2006/main">
  <s:sheetPr>
    <s:outlinePr summaryBelow="1" summaryRight="1"/>
    <s:pageSetUpPr/>
  </s:sheetPr>
  <s:dimension ref="A1:E96"/>
  <s:sheetViews>
    <s:sheetView showGridLines="0" workbookViewId="0">
      <s:selection activeCell="A1" sqref="A1"/>
    </s:sheetView>
  </s:sheetViews>
  <s:sheetFormatPr baseColWidth="8" defaultRowHeight="15"/>
  <s:cols>
    <s:col width="13" customWidth="1" min="1" max="1"/>
    <s:col width="54" customWidth="1" min="2" max="2"/>
    <s:col width="34" customWidth="1" min="3" max="3"/>
    <s:col width="36" customWidth="1" min="4" max="4"/>
    <s:col width="15" customWidth="1" min="5" max="5"/>
    <s:col width="12" customWidth="1" min="6" max="6"/>
  </s:cols>
  <s:sheetData>
    <s:row r="1">
      <s:c r="A1" s="1" t="inlineStr">
        <s:is>
          <s:t>ფაქტობრივი გადარიცხვები / ACTUAL BANK TRANSACTIONS</s:t>
        </s:is>
      </s:c>
    </s:row>
    <s:row r="2">
      <s:c r="A2" s="2" t="inlineStr">
        <s:is>
          <s:t>ეს ფურცელი ამონაწერის ასლია — ნუ შეცვლით. მოდელი მას მხოლოდ კურსისთვის იყენებს. / A verbatim copy of the statement — do not edit. The model uses it only for the FX rate.</s:t>
        </s:is>
      </s:c>
    </s:row>
    <s:row r="4">
      <s:c r="A4" s="17" t="inlineStr">
        <s:is>
          <s:t>წყარო / Source files</s:t>
        </s:is>
      </s:c>
      <s:c r="B4" s="20" t="inlineStr">
        <s:is>
          <s:t>transaction_history_all_accounts_20260401_20260909.csv · transaction_history_all_accounts_20260911_20260918.xlsx (Google Drive) · 19–21/09 მფლობელის მონაცემი, ამონაწერით დასადასტურებელი / reported by the owner, to be confirmed against the statement</s:t>
        </s:is>
      </s:c>
    </s:row>
    <s:row r="5">
      <s:c r="A5" s="17" t="inlineStr">
        <s:is>
          <s:t>ანგარიში / Account</s:t>
        </s:is>
      </s:c>
      <s:c r="B5" s="20" t="inlineStr">
        <s:is>
          <s:t>GE66CR0000009572073602</s:t>
        </s:is>
      </s:c>
    </s:row>
    <s:row r="6">
      <s:c r="A6" s="17" t="inlineStr">
        <s:is>
          <s:t>მფლობელი / Account name</s:t>
        </s:is>
      </s:c>
      <s:c r="B6" s="20" t="inlineStr">
        <s:is>
          <s:t>შპს მუხრანი 2026 / LLC Mukhrani 2026</s:t>
        </s:is>
      </s:c>
    </s:row>
    <s:row r="7">
      <s:c r="A7" s="17" t="inlineStr">
        <s:is>
          <s:t>მოთხოვნილი პერიოდი / Period requested</s:t>
        </s:is>
      </s:c>
      <s:c r="B7" s="20" t="inlineStr">
        <s:is>
          <s:t>01/04/2026 – 21/09/2026</s:t>
        </s:is>
      </s:c>
    </s:row>
    <s:row r="8">
      <s:c r="A8" s="17" t="inlineStr">
        <s:is>
          <s:t>ფაქტობრივი ჩანაწერები / Entries present</s:t>
        </s:is>
      </s:c>
      <s:c r="B8" s="20" t="inlineStr">
        <s:is>
          <s:t>01/07/2026 – 22/09/2026 · 30 საბანკო + 21 საწვავი / 30 bank + 21 fuel</s:t>
        </s:is>
      </s:c>
    </s:row>
    <s:row r="9">
      <s:c r="A9" s="17" t="inlineStr">
        <s:is>
          <s:t>ჩარიცხვა / Inflow</s:t>
        </s:is>
      </s:c>
      <s:c r="B9" s="20" t="inlineStr">
        <s:is>
          <s:t>14/09/2026 — 30,000 ₾, კრედიტის ტრანში GA/1-876787-001 — ხარჯი არ არის, ქვემოთ არ ითვლება / a tranche of the credit, not an expense, excluded below</s:t>
        </s:is>
      </s:c>
    </s:row>
    <s:row r="11">
      <s:c r="A11" s="10" t="inlineStr">
        <s:is>
          <s:t>გადარიცხვები / PAYMENTS</s:t>
        </s:is>
      </s:c>
      <s:c r="B11" s="11" t="n"/>
      <s:c r="C11" s="11" t="n"/>
      <s:c r="D11" s="11" t="n"/>
      <s:c r="E11" s="11" t="n"/>
    </s:row>
    <s:row r="12">
      <s:c r="A12" s="12" t="inlineStr">
        <s:is>
          <s:t>თარიღი / Date</s:t>
        </s:is>
      </s:c>
      <s:c r="B12" s="12" t="inlineStr">
        <s:is>
          <s:t>დანიშნულება / Description</s:t>
        </s:is>
      </s:c>
      <s:c r="C12" s="12" t="inlineStr">
        <s:is>
          <s:t>მიმღები / Counterparty</s:t>
        </s:is>
      </s:c>
      <s:c r="D12" s="12" t="inlineStr">
        <s:is>
          <s:t>კატეგორია / Category</s:t>
        </s:is>
      </s:c>
      <s:c r="E12" s="12" t="inlineStr">
        <s:is>
          <s:t>თანხა GEL / Amount</s:t>
        </s:is>
      </s:c>
    </s:row>
    <s:row r="13">
      <s:c r="A13" s="74" t="n">
        <s:v>46204</s:v>
      </s:c>
      <s:c r="B13" s="66" t="inlineStr">
        <s:is>
          <s:t>ინვოისი</s:t>
        </s:is>
      </s:c>
      <s:c r="C13" s="66" t="inlineStr">
        <s:is>
          <s:t>შპს ტერმინალ ვესტ თრეიდინგ</s:t>
        </s:is>
      </s:c>
      <s:c r="D13" s="66" t="inlineStr">
        <s:is>
          <s:t>მომწოდებლის ინვოისი / Supplier invoice</s:t>
        </s:is>
      </s:c>
      <s:c r="E13" s="75" t="n">
        <s:v>-1409.41</s:v>
      </s:c>
    </s:row>
    <s:row r="14">
      <s:c r="A14" s="74" t="n">
        <s:v>46204</s:v>
      </s:c>
      <s:c r="B14" s="66" t="inlineStr">
        <s:is>
          <s:t>მომსახურების ანაზღაურება</s:t>
        </s:is>
      </s:c>
      <s:c r="C14" s="66" t="inlineStr">
        <s:is>
          <s:t>ნუგზარი ბუნტური</s:t>
        </s:is>
      </s:c>
      <s:c r="D14" s="66" t="inlineStr">
        <s:is>
          <s:t>მომსახურება / Services</s:t>
        </s:is>
      </s:c>
      <s:c r="E14" s="75" t="n">
        <s:v>-500</s:v>
      </s:c>
    </s:row>
    <s:row r="15">
      <s:c r="A15" s="74" t="n">
        <s:v>46204</s:v>
      </s:c>
      <s:c r="B15" s="66" t="inlineStr">
        <s:is>
          <s:t>ხელფასი</s:t>
        </s:is>
      </s:c>
      <s:c r="C15" s="66" t="inlineStr">
        <s:is>
          <s:t>ნატალია ქანანელი</s:t>
        </s:is>
      </s:c>
      <s:c r="D15" s="66" t="inlineStr">
        <s:is>
          <s:t>ხელფასი / Salaries</s:t>
        </s:is>
      </s:c>
      <s:c r="E15" s="75" t="n">
        <s:v>-1000</s:v>
      </s:c>
    </s:row>
    <s:row r="16">
      <s:c r="A16" s="74" t="n">
        <s:v>46204</s:v>
      </s:c>
      <s:c r="B16" s="66" t="inlineStr">
        <s:is>
          <s:t>თანახმად ხელშეკრულებისა; მომსახურება</s:t>
        </s:is>
      </s:c>
      <s:c r="C16" s="66" t="inlineStr">
        <s:is>
          <s:t>გიორგი მღებრიშვილი</s:t>
        </s:is>
      </s:c>
      <s:c r="D16" s="66" t="inlineStr">
        <s:is>
          <s:t>მომსახურება / Services</s:t>
        </s:is>
      </s:c>
      <s:c r="E16" s="75" t="n">
        <s:v>-1600</s:v>
      </s:c>
    </s:row>
    <s:row r="17">
      <s:c r="A17" s="74" t="n">
        <s:v>46212</s:v>
      </s:c>
      <s:c r="B17" s="66" t="inlineStr">
        <s:is>
          <s:t>ავანსი თანახმად ხელშეკრულება N1 7/6/2026 (22 000 აშშ დოლარი, ერ.კ. 2.6384)</s:t>
        </s:is>
      </s:c>
      <s:c r="C17" s="66" t="inlineStr">
        <s:is>
          <s:t>შპს ჯიესენ გრუპ</s:t>
        </s:is>
      </s:c>
      <s:c r="D17" s="66" t="inlineStr">
        <s:is>
          <s:t>მშენებლობის ავანსი / Construction advance</s:t>
        </s:is>
      </s:c>
      <s:c r="E17" s="75" t="n">
        <s:v>-58044.8</s:v>
      </s:c>
    </s:row>
    <s:row r="18">
      <s:c r="A18" s="74" t="n">
        <s:v>46216</s:v>
      </s:c>
      <s:c r="B18" s="66" t="inlineStr">
        <s:is>
          <s:t>ელექტრო მასალების შეძენა; ლითონის სამონტაჟო მასალები</s:t>
        </s:is>
      </s:c>
      <s:c r="C18" s="66" t="inlineStr">
        <s:is>
          <s:t>ი.მ. შოთა კერესელიძე</s:t>
        </s:is>
      </s:c>
      <s:c r="D18" s="66" t="inlineStr">
        <s:is>
          <s:t>მასალები / Materials</s:t>
        </s:is>
      </s:c>
      <s:c r="E18" s="75" t="n">
        <s:v>-4660</s:v>
      </s:c>
    </s:row>
    <s:row r="19">
      <s:c r="A19" s="74" t="n">
        <s:v>46219</s:v>
      </s:c>
      <s:c r="B19" s="66" t="inlineStr">
        <s:is>
          <s:t>ინვოისი 154-729 27/06/2026</s:t>
        </s:is>
      </s:c>
      <s:c r="C19" s="66" t="inlineStr">
        <s:is>
          <s:t>შპს ენ ბი სი ჯგუფი</s:t>
        </s:is>
      </s:c>
      <s:c r="D19" s="66" t="inlineStr">
        <s:is>
          <s:t>მომწოდებლის ინვოისი / Supplier invoice</s:t>
        </s:is>
      </s:c>
      <s:c r="E19" s="75" t="n">
        <s:v>-1450</s:v>
      </s:c>
    </s:row>
    <s:row r="20">
      <s:c r="A20" s="74" t="n">
        <s:v>46238</s:v>
      </s:c>
      <s:c r="B20" s="66" t="inlineStr">
        <s:is>
          <s:t>ავანსი თანახმად ხელშეკრულება N1 7/6/2026 (5 000 აშშ დოლარი)</s:t>
        </s:is>
      </s:c>
      <s:c r="C20" s="66" t="inlineStr">
        <s:is>
          <s:t>შპს ჯიესენ გრუპ</s:t>
        </s:is>
      </s:c>
      <s:c r="D20" s="66" t="inlineStr">
        <s:is>
          <s:t>მშენებლობის ავანსი / Construction advance</s:t>
        </s:is>
      </s:c>
      <s:c r="E20" s="75" t="n">
        <s:v>-13100</s:v>
      </s:c>
    </s:row>
    <s:row r="21">
      <s:c r="A21" s="74" t="n">
        <s:v>46238</s:v>
      </s:c>
      <s:c r="B21" s="66" t="inlineStr">
        <s:is>
          <s:t>ხელფასი</s:t>
        </s:is>
      </s:c>
      <s:c r="C21" s="66" t="inlineStr">
        <s:is>
          <s:t>გოდერძი მეტრეველი</s:t>
        </s:is>
      </s:c>
      <s:c r="D21" s="66" t="inlineStr">
        <s:is>
          <s:t>ხელფასი / Salaries</s:t>
        </s:is>
      </s:c>
      <s:c r="E21" s="75" t="n">
        <s:v>-2000</s:v>
      </s:c>
    </s:row>
    <s:row r="22">
      <s:c r="A22" s="74" t="n">
        <s:v>46244</s:v>
      </s:c>
      <s:c r="B22" s="66" t="inlineStr">
        <s:is>
          <s:t>საქვეანგარიშოდ საჯარო რეესტრში გაწეული ხარჯისათვის</s:t>
        </s:is>
      </s:c>
      <s:c r="C22" s="66" t="inlineStr">
        <s:is>
          <s:t>გოდერძი მეტრეველი</s:t>
        </s:is>
      </s:c>
      <s:c r="D22" s="66" t="inlineStr">
        <s:is>
          <s:t>სხვა / Other</s:t>
        </s:is>
      </s:c>
      <s:c r="E22" s="75" t="n">
        <s:v>-307</s:v>
      </s:c>
    </s:row>
    <s:row r="23">
      <s:c r="A23" s="74" t="n">
        <s:v>46244</s:v>
      </s:c>
      <s:c r="B23" s="66" t="inlineStr">
        <s:is>
          <s:t>საპენსიო გადასახადი</s:t>
        </s:is>
      </s:c>
      <s:c r="C23" s="66" t="inlineStr">
        <s:is>
          <s:t>სსიპ საქართველოს საპენსიო ფონდი</s:t>
        </s:is>
      </s:c>
      <s:c r="D23" s="66" t="inlineStr">
        <s:is>
          <s:t>გადასახადები / Taxes &amp; pension</s:t>
        </s:is>
      </s:c>
      <s:c r="E23" s="75" t="n">
        <s:v>-170</s:v>
      </s:c>
    </s:row>
    <s:row r="24">
      <s:c r="A24" s="74" t="n">
        <s:v>46260</s:v>
      </s:c>
      <s:c r="B24" s="66" t="inlineStr">
        <s:is>
          <s:t>გადასახადების ერთიანი კოდი</s:t>
        </s:is>
      </s:c>
      <s:c r="C24" s="66" t="inlineStr">
        <s:is>
          <s:t>ხაზინის ერთიანი ანგარიში (RS)</s:t>
        </s:is>
      </s:c>
      <s:c r="D24" s="66" t="inlineStr">
        <s:is>
          <s:t>გადასახადები / Taxes &amp; pension</s:t>
        </s:is>
      </s:c>
      <s:c r="E24" s="75" t="n">
        <s:v>-900</s:v>
      </s:c>
    </s:row>
    <s:row r="25">
      <s:c r="A25" s="74" t="n">
        <s:v>46260</s:v>
      </s:c>
      <s:c r="B25" s="66" t="inlineStr">
        <s:is>
          <s:t>ხელფასი</s:t>
        </s:is>
      </s:c>
      <s:c r="C25" s="66" t="inlineStr">
        <s:is>
          <s:t>ნატალია ქანანელი</s:t>
        </s:is>
      </s:c>
      <s:c r="D25" s="66" t="inlineStr">
        <s:is>
          <s:t>ხელფასი / Salaries</s:t>
        </s:is>
      </s:c>
      <s:c r="E25" s="75" t="n">
        <s:v>-2000</s:v>
      </s:c>
    </s:row>
    <s:row r="26">
      <s:c r="A26" s="74" t="n">
        <s:v>46265</s:v>
      </s:c>
      <s:c r="B26" s="66" t="inlineStr">
        <s:is>
          <s:t>ხელფასი</s:t>
        </s:is>
      </s:c>
      <s:c r="C26" s="66" t="inlineStr">
        <s:is>
          <s:t>გოდერძი მეტრეველი</s:t>
        </s:is>
      </s:c>
      <s:c r="D26" s="66" t="inlineStr">
        <s:is>
          <s:t>ხელფასი / Salaries</s:t>
        </s:is>
      </s:c>
      <s:c r="E26" s="75" t="n">
        <s:v>-3000</s:v>
      </s:c>
    </s:row>
    <s:row r="27">
      <s:c r="A27" s="74" t="n">
        <s:v>46273</s:v>
      </s:c>
      <s:c r="B27" s="66" t="inlineStr">
        <s:is>
          <s:t>საპენსიო გადასახადი</s:t>
        </s:is>
      </s:c>
      <s:c r="C27" s="66" t="inlineStr">
        <s:is>
          <s:t>სსიპ საქართველოს საპენსიო ფონდი</s:t>
        </s:is>
      </s:c>
      <s:c r="D27" s="66" t="inlineStr">
        <s:is>
          <s:t>გადასახადები / Taxes &amp; pension</s:t>
        </s:is>
      </s:c>
      <s:c r="E27" s="75" t="n">
        <s:v>-400</s:v>
      </s:c>
    </s:row>
    <s:row r="28">
      <s:c r="A28" s="74" t="n">
        <s:v>46279</s:v>
      </s:c>
      <s:c r="B28" s="66" t="inlineStr">
        <s:is>
          <s:t>ავანსი თანახმად ხელშეკრულება (ხელშ. N1)</s:t>
        </s:is>
      </s:c>
      <s:c r="C28" s="66" t="inlineStr">
        <s:is>
          <s:t>შპს ჯიესენ გრუპ</s:t>
        </s:is>
      </s:c>
      <s:c r="D28" s="66" t="inlineStr">
        <s:is>
          <s:t>მშენებლობის ავანსი / Construction advance</s:t>
        </s:is>
      </s:c>
      <s:c r="E28" s="75" t="n">
        <s:v>-1500</s:v>
      </s:c>
    </s:row>
    <s:row r="29">
      <s:c r="A29" s="74" t="n">
        <s:v>46279</s:v>
      </s:c>
      <s:c r="B29" s="66" t="inlineStr">
        <s:is>
          <s:t>ავანსი თანახმად ხელშეკრულება (ხელშ. N1)</s:t>
        </s:is>
      </s:c>
      <s:c r="C29" s="66" t="inlineStr">
        <s:is>
          <s:t>შპს ჯიესენ გრუპ</s:t>
        </s:is>
      </s:c>
      <s:c r="D29" s="66" t="inlineStr">
        <s:is>
          <s:t>მშენებლობის ავანსი / Construction advance</s:t>
        </s:is>
      </s:c>
      <s:c r="E29" s="75" t="n">
        <s:v>-1400</s:v>
      </s:c>
    </s:row>
    <s:row r="30">
      <s:c r="A30" s="74" t="n">
        <s:v>46279</s:v>
      </s:c>
      <s:c r="B30" s="66" t="inlineStr">
        <s:is>
          <s:t>ხელფასი</s:t>
        </s:is>
      </s:c>
      <s:c r="C30" s="66" t="inlineStr">
        <s:is>
          <s:t>გოდერძი მეტრეველი</s:t>
        </s:is>
      </s:c>
      <s:c r="D30" s="66" t="inlineStr">
        <s:is>
          <s:t>ხელფასი / Salaries</s:t>
        </s:is>
      </s:c>
      <s:c r="E30" s="75" t="n">
        <s:v>-2000</s:v>
      </s:c>
    </s:row>
    <s:row r="31">
      <s:c r="A31" s="74" t="n">
        <s:v>46279</s:v>
      </s:c>
      <s:c r="B31" s="66" t="inlineStr">
        <s:is>
          <s:t>ინვოისი 12866 14/09/2026</s:t>
        </s:is>
      </s:c>
      <s:c r="C31" s="66" t="inlineStr">
        <s:is>
          <s:t>შპს კლუგერი 1</s:t>
        </s:is>
      </s:c>
      <s:c r="D31" s="66" t="inlineStr">
        <s:is>
          <s:t>მომწოდებლის ინვოისი / Supplier invoice</s:t>
        </s:is>
      </s:c>
      <s:c r="E31" s="75" t="n">
        <s:v>-1616</s:v>
      </s:c>
    </s:row>
    <s:row r="32">
      <s:c r="A32" s="74" t="n">
        <s:v>46279</s:v>
      </s:c>
      <s:c r="B32" s="66" t="inlineStr">
        <s:is>
          <s:t>მომსახურება</s:t>
        </s:is>
      </s:c>
      <s:c r="C32" s="66" t="inlineStr">
        <s:is>
          <s:t>ვაჟა ბოდაველი</s:t>
        </s:is>
      </s:c>
      <s:c r="D32" s="66" t="inlineStr">
        <s:is>
          <s:t>მომსახურება / Services</s:t>
        </s:is>
      </s:c>
      <s:c r="E32" s="75" t="n">
        <s:v>-150</s:v>
      </s:c>
    </s:row>
    <s:row r="33">
      <s:c r="A33" s="74" t="n">
        <s:v>46279</s:v>
      </s:c>
      <s:c r="B33" s="66" t="inlineStr">
        <s:is>
          <s:t>სესხის ერთჯერადი მომსახურების საკომისიო GA/1-876787-001</s:t>
        </s:is>
      </s:c>
      <s:c r="C33" s="66" t="inlineStr">
        <s:is>
          <s:t>სს ბანკი ქართუ</s:t>
        </s:is>
      </s:c>
      <s:c r="D33" s="66" t="inlineStr">
        <s:is>
          <s:t>სხვა / Other</s:t>
        </s:is>
      </s:c>
      <s:c r="E33" s="75" t="n">
        <s:v>-60</s:v>
      </s:c>
    </s:row>
    <s:row r="34">
      <s:c r="A34" s="74" t="n">
        <s:v>46281</s:v>
      </s:c>
      <s:c r="B34" s="66" t="inlineStr">
        <s:is>
          <s:t>ინვოისი 20260916A 16/09/2026</s:t>
        </s:is>
      </s:c>
      <s:c r="C34" s="66" t="inlineStr">
        <s:is>
          <s:t>შპს იბოსთარ</s:t>
        </s:is>
      </s:c>
      <s:c r="D34" s="66" t="inlineStr">
        <s:is>
          <s:t>მომწოდებლის ინვოისი / Supplier invoice</s:t>
        </s:is>
      </s:c>
      <s:c r="E34" s="75" t="n">
        <s:v>-3030</s:v>
      </s:c>
    </s:row>
    <s:row r="35">
      <s:c r="A35" s="74" t="n">
        <s:v>46281</s:v>
      </s:c>
      <s:c r="B35" s="66" t="inlineStr">
        <s:is>
          <s:t>სასაქონლო ზედნადებებით პროდუქციის საფასური</s:t>
        </s:is>
      </s:c>
      <s:c r="C35" s="66" t="inlineStr">
        <s:is>
          <s:t>ი.მ. ლალი ზეიკიძე</s:t>
        </s:is>
      </s:c>
      <s:c r="D35" s="66" t="inlineStr">
        <s:is>
          <s:t>მასალები / Materials</s:t>
        </s:is>
      </s:c>
      <s:c r="E35" s="75" t="n">
        <s:v>-467.7</s:v>
      </s:c>
    </s:row>
    <s:row r="36">
      <s:c r="A36" s="74" t="n">
        <s:v>46281</s:v>
      </s:c>
      <s:c r="B36" s="66" t="inlineStr">
        <s:is>
          <s:t>ცემენტის ღირებულება</s:t>
        </s:is>
      </s:c>
      <s:c r="C36" s="66" t="inlineStr">
        <s:is>
          <s:t>სოსო ხლუსიძე</s:t>
        </s:is>
      </s:c>
      <s:c r="D36" s="66" t="inlineStr">
        <s:is>
          <s:t>მასალები / Materials</s:t>
        </s:is>
      </s:c>
      <s:c r="E36" s="75" t="n">
        <s:v>-170</s:v>
      </s:c>
    </s:row>
    <s:row r="37">
      <s:c r="A37" s="74" t="n">
        <s:v>46283</s:v>
      </s:c>
      <s:c r="B37" s="66" t="inlineStr">
        <s:is>
          <s:t>ცემენტის ღირებულება, ზედნადები 1008422939 18/09/2026</s:t>
        </s:is>
      </s:c>
      <s:c r="C37" s="66" t="inlineStr">
        <s:is>
          <s:t>სოსო ხლუსიძე</s:t>
        </s:is>
      </s:c>
      <s:c r="D37" s="66" t="inlineStr">
        <s:is>
          <s:t>მასალები / Materials</s:t>
        </s:is>
      </s:c>
      <s:c r="E37" s="75" t="n">
        <s:v>-425</s:v>
      </s:c>
    </s:row>
    <s:row r="38">
      <s:c r="A38" s="74" t="n">
        <s:v>46283</s:v>
      </s:c>
      <s:c r="B38" s="66" t="inlineStr">
        <s:is>
          <s:t>მომსახურება</s:t>
        </s:is>
      </s:c>
      <s:c r="C38" s="66" t="inlineStr">
        <s:is>
          <s:t>რაუფ ბაირამოვი</s:t>
        </s:is>
      </s:c>
      <s:c r="D38" s="66" t="inlineStr">
        <s:is>
          <s:t>მომსახურება / Services</s:t>
        </s:is>
      </s:c>
      <s:c r="E38" s="75" t="n">
        <s:v>-820</s:v>
      </s:c>
    </s:row>
    <s:row r="39">
      <s:c r="A39" s="74" t="n">
        <s:v>46283</s:v>
      </s:c>
      <s:c r="B39" s="66" t="inlineStr">
        <s:is>
          <s:t>ამწე მომსახურება — სამონტაჟო სამუშაო, კაპიტალიზებული</s:t>
        </s:is>
      </s:c>
      <s:c r="C39" s="66" t="inlineStr">
        <s:is>
          <s:t>აკაკი ბუჩაშვილი</s:t>
        </s:is>
      </s:c>
      <s:c r="D39" s="66" t="inlineStr">
        <s:is>
          <s:t>სხვა / Other</s:t>
        </s:is>
      </s:c>
      <s:c r="E39" s="75" t="n">
        <s:v>-550</s:v>
      </s:c>
    </s:row>
    <s:row r="40">
      <s:c r="A40" s="74" t="n">
        <s:v>46283</s:v>
      </s:c>
      <s:c r="B40" s="66" t="inlineStr">
        <s:is>
          <s:t>საბანკო საკომისიოები — 11 გადარიცხვა, 11–18/09/2026</s:t>
        </s:is>
      </s:c>
      <s:c r="C40" s="66" t="inlineStr">
        <s:is>
          <s:t>სს ბანკი ქართუ</s:t>
        </s:is>
      </s:c>
      <s:c r="D40" s="66" t="inlineStr">
        <s:is>
          <s:t>სხვა / Other</s:t>
        </s:is>
      </s:c>
      <s:c r="E40" s="75" t="n">
        <s:v>-12.08</s:v>
      </s:c>
    </s:row>
    <s:row r="41">
      <s:c r="A41" s="74" t="n">
        <s:v>46284</s:v>
      </s:c>
      <s:c r="B41" s="66" t="inlineStr">
        <s:is>
          <s:t>ავანსი ხელშეკრულება N1 (40 000 აშშ დოლარი, ერ.კ. 2.6125)</s:t>
        </s:is>
      </s:c>
      <s:c r="C41" s="66" t="inlineStr">
        <s:is>
          <s:t>შპს ჯიესენ გრუპ</s:t>
        </s:is>
      </s:c>
      <s:c r="D41" s="66" t="inlineStr">
        <s:is>
          <s:t>მშენებლობის ავანსი / Construction advance</s:t>
        </s:is>
      </s:c>
      <s:c r="E41" s="75" t="n">
        <s:v>-104500</s:v>
      </s:c>
    </s:row>
    <s:row r="42">
      <s:c r="A42" s="74" t="n">
        <s:v>46286</s:v>
      </s:c>
      <s:c r="B42" s="66" t="inlineStr">
        <s:is>
          <s:t>საქვეანგარიშო ავანსი დირექტორზე — საწვავი და მუშების კვება</s:t>
        </s:is>
      </s:c>
      <s:c r="C42" s="66" t="inlineStr">
        <s:is>
          <s:t>გოდერძი მეტრეველი</s:t>
        </s:is>
      </s:c>
      <s:c r="D42" s="66" t="inlineStr">
        <s:is>
          <s:t>ავანსი დირექტორზე / Advance to the director</s:t>
        </s:is>
      </s:c>
      <s:c r="E42" s="75" t="n">
        <s:v>-10000</s:v>
      </s:c>
    </s:row>
    <s:row r="43">
      <s:c r="A43" s="74" t="n">
        <s:v>46205</s:v>
      </s:c>
      <s:c r="B43" s="66" t="inlineStr">
        <s:is>
          <s:t>საწვავი G-Force Premium 27.62 ლ — SANAPIRO</s:t>
        </s:is>
      </s:c>
      <s:c r="C43" s="66" t="inlineStr">
        <s:is>
          <s:t>Gulf</s:t>
        </s:is>
      </s:c>
      <s:c r="D43" s="66" t="inlineStr">
        <s:is>
          <s:t>საწვავი / Fuel</s:t>
        </s:is>
      </s:c>
      <s:c r="E43" s="75" t="n">
        <s:v>-100</s:v>
      </s:c>
    </s:row>
    <s:row r="44">
      <s:c r="A44" s="74" t="n">
        <s:v>46208</s:v>
      </s:c>
      <s:c r="B44" s="66" t="inlineStr">
        <s:is>
          <s:t>საწვავი G-Force Premium 29.67 ლ — COSMONAVTI EXPRESS</s:t>
        </s:is>
      </s:c>
      <s:c r="C44" s="66" t="inlineStr">
        <s:is>
          <s:t>Gulf</s:t>
        </s:is>
      </s:c>
      <s:c r="D44" s="66" t="inlineStr">
        <s:is>
          <s:t>საწვავი / Fuel</s:t>
        </s:is>
      </s:c>
      <s:c r="E44" s="75" t="n">
        <s:v>-100</s:v>
      </s:c>
    </s:row>
    <s:row r="45">
      <s:c r="A45" s="74" t="n">
        <s:v>46212</s:v>
      </s:c>
      <s:c r="B45" s="66" t="inlineStr">
        <s:is>
          <s:t>საწვავი G-Force Premium 65 ლ — COSMONAVTI EXPRESS</s:t>
        </s:is>
      </s:c>
      <s:c r="C45" s="66" t="inlineStr">
        <s:is>
          <s:t>Gulf</s:t>
        </s:is>
      </s:c>
      <s:c r="D45" s="66" t="inlineStr">
        <s:is>
          <s:t>საწვავი / Fuel</s:t>
        </s:is>
      </s:c>
      <s:c r="E45" s="75" t="n">
        <s:v>-222.3</s:v>
      </s:c>
    </s:row>
    <s:row r="46">
      <s:c r="A46" s="74" t="n">
        <s:v>46220</s:v>
      </s:c>
      <s:c r="B46" s="66" t="inlineStr">
        <s:is>
          <s:t>საწვავი G-Force Premium 50 ლ — COSMONAVTI EXPRESS</s:t>
        </s:is>
      </s:c>
      <s:c r="C46" s="66" t="inlineStr">
        <s:is>
          <s:t>Gulf</s:t>
        </s:is>
      </s:c>
      <s:c r="D46" s="66" t="inlineStr">
        <s:is>
          <s:t>საწვავი / Fuel</s:t>
        </s:is>
      </s:c>
      <s:c r="E46" s="75" t="n">
        <s:v>-171</s:v>
      </s:c>
    </s:row>
    <s:row r="47">
      <s:c r="A47" s="74" t="n">
        <s:v>46222</s:v>
      </s:c>
      <s:c r="B47" s="66" t="inlineStr">
        <s:is>
          <s:t>საწვავი Euro Diesel 11.55 ლ — SAGAREJO</s:t>
        </s:is>
      </s:c>
      <s:c r="C47" s="66" t="inlineStr">
        <s:is>
          <s:t>Gulf</s:t>
        </s:is>
      </s:c>
      <s:c r="D47" s="66" t="inlineStr">
        <s:is>
          <s:t>საწვავი / Fuel</s:t>
        </s:is>
      </s:c>
      <s:c r="E47" s="75" t="n">
        <s:v>-44.12</s:v>
      </s:c>
    </s:row>
    <s:row r="48">
      <s:c r="A48" s="74" t="n">
        <s:v>46225</s:v>
      </s:c>
      <s:c r="B48" s="66" t="inlineStr">
        <s:is>
          <s:t>საწვავი G-Force Premium 65 ლ — COSMONAVTI EXPRESS</s:t>
        </s:is>
      </s:c>
      <s:c r="C48" s="66" t="inlineStr">
        <s:is>
          <s:t>Gulf</s:t>
        </s:is>
      </s:c>
      <s:c r="D48" s="66" t="inlineStr">
        <s:is>
          <s:t>საწვავი / Fuel</s:t>
        </s:is>
      </s:c>
      <s:c r="E48" s="75" t="n">
        <s:v>-219.05</s:v>
      </s:c>
    </s:row>
    <s:row r="49">
      <s:c r="A49" s="74" t="n">
        <s:v>46229</s:v>
      </s:c>
      <s:c r="B49" s="66" t="inlineStr">
        <s:is>
          <s:t>საწვავი G-Force Premium 30 ლ — COSMONAVTI EXPRESS</s:t>
        </s:is>
      </s:c>
      <s:c r="C49" s="66" t="inlineStr">
        <s:is>
          <s:t>Gulf</s:t>
        </s:is>
      </s:c>
      <s:c r="D49" s="66" t="inlineStr">
        <s:is>
          <s:t>საწვავი / Fuel</s:t>
        </s:is>
      </s:c>
      <s:c r="E49" s="75" t="n">
        <s:v>-103.5</s:v>
      </s:c>
    </s:row>
    <s:row r="50">
      <s:c r="A50" s="74" t="n">
        <s:v>46232</s:v>
      </s:c>
      <s:c r="B50" s="66" t="inlineStr">
        <s:is>
          <s:t>საწვავი G-Force Premium 50 ლ — COSMONAVTI EXPRESS</s:t>
        </s:is>
      </s:c>
      <s:c r="C50" s="66" t="inlineStr">
        <s:is>
          <s:t>Gulf</s:t>
        </s:is>
      </s:c>
      <s:c r="D50" s="66" t="inlineStr">
        <s:is>
          <s:t>საწვავი / Fuel</s:t>
        </s:is>
      </s:c>
      <s:c r="E50" s="75" t="n">
        <s:v>-172.5</s:v>
      </s:c>
    </s:row>
    <s:row r="51">
      <s:c r="A51" s="74" t="n">
        <s:v>46238</s:v>
      </s:c>
      <s:c r="B51" s="66" t="inlineStr">
        <s:is>
          <s:t>საწვავი G-Force Premium 50 ლ — COSMONAVTI EXPRESS</s:t>
        </s:is>
      </s:c>
      <s:c r="C51" s="66" t="inlineStr">
        <s:is>
          <s:t>Gulf</s:t>
        </s:is>
      </s:c>
      <s:c r="D51" s="66" t="inlineStr">
        <s:is>
          <s:t>საწვავი / Fuel</s:t>
        </s:is>
      </s:c>
      <s:c r="E51" s="75" t="n">
        <s:v>-175</s:v>
      </s:c>
    </s:row>
    <s:row r="52">
      <s:c r="A52" s="74" t="n">
        <s:v>46240</s:v>
      </s:c>
      <s:c r="B52" s="66" t="inlineStr">
        <s:is>
          <s:t>საწვავი G-Force Premium 60 ლ — BIO</s:t>
        </s:is>
      </s:c>
      <s:c r="C52" s="66" t="inlineStr">
        <s:is>
          <s:t>Gulf</s:t>
        </s:is>
      </s:c>
      <s:c r="D52" s="66" t="inlineStr">
        <s:is>
          <s:t>საწვავი / Fuel</s:t>
        </s:is>
      </s:c>
      <s:c r="E52" s="75" t="n">
        <s:v>-210</s:v>
      </s:c>
    </s:row>
    <s:row r="53">
      <s:c r="A53" s="74" t="n">
        <s:v>46241</s:v>
      </s:c>
      <s:c r="B53" s="66" t="inlineStr">
        <s:is>
          <s:t>საწვავი Euro Diesel 11 ლ — COSMONAVTI EXPRESS</s:t>
        </s:is>
      </s:c>
      <s:c r="C53" s="66" t="inlineStr">
        <s:is>
          <s:t>Gulf</s:t>
        </s:is>
      </s:c>
      <s:c r="D53" s="66" t="inlineStr">
        <s:is>
          <s:t>საწვავი / Fuel</s:t>
        </s:is>
      </s:c>
      <s:c r="E53" s="75" t="n">
        <s:v>-42.9</s:v>
      </s:c>
    </s:row>
    <s:row r="54">
      <s:c r="A54" s="74" t="n">
        <s:v>46243</s:v>
      </s:c>
      <s:c r="B54" s="66" t="inlineStr">
        <s:is>
          <s:t>საწვავი G-Force Premium 28.99 ლ — BIO</s:t>
        </s:is>
      </s:c>
      <s:c r="C54" s="66" t="inlineStr">
        <s:is>
          <s:t>Gulf</s:t>
        </s:is>
      </s:c>
      <s:c r="D54" s="66" t="inlineStr">
        <s:is>
          <s:t>საწვავი / Fuel</s:t>
        </s:is>
      </s:c>
      <s:c r="E54" s="75" t="n">
        <s:v>-100</s:v>
      </s:c>
    </s:row>
    <s:row r="55">
      <s:c r="A55" s="74" t="n">
        <s:v>46254</s:v>
      </s:c>
      <s:c r="B55" s="66" t="inlineStr">
        <s:is>
          <s:t>საწვავი G-Force Premium 10 ლ — COSMONAVTI EXPRESS</s:t>
        </s:is>
      </s:c>
      <s:c r="C55" s="66" t="inlineStr">
        <s:is>
          <s:t>Gulf</s:t>
        </s:is>
      </s:c>
      <s:c r="D55" s="66" t="inlineStr">
        <s:is>
          <s:t>საწვავი / Fuel</s:t>
        </s:is>
      </s:c>
      <s:c r="E55" s="75" t="n">
        <s:v>-35.6</s:v>
      </s:c>
    </s:row>
    <s:row r="56">
      <s:c r="A56" s="74" t="n">
        <s:v>46268</s:v>
      </s:c>
      <s:c r="B56" s="66" t="inlineStr">
        <s:is>
          <s:t>საწვავი G-Force Premium 10 ლ — COSMONAVTI EXPRESS</s:t>
        </s:is>
      </s:c>
      <s:c r="C56" s="66" t="inlineStr">
        <s:is>
          <s:t>Gulf</s:t>
        </s:is>
      </s:c>
      <s:c r="D56" s="66" t="inlineStr">
        <s:is>
          <s:t>საწვავი / Fuel</s:t>
        </s:is>
      </s:c>
      <s:c r="E56" s="75" t="n">
        <s:v>-36.6</s:v>
      </s:c>
    </s:row>
    <s:row r="57">
      <s:c r="A57" s="74" t="n">
        <s:v>46268</s:v>
      </s:c>
      <s:c r="B57" s="66" t="inlineStr">
        <s:is>
          <s:t>საწვავი G-Force Premium 40 ლ — COSMONAVTI EXPRESS</s:t>
        </s:is>
      </s:c>
      <s:c r="C57" s="66" t="inlineStr">
        <s:is>
          <s:t>Gulf</s:t>
        </s:is>
      </s:c>
      <s:c r="D57" s="66" t="inlineStr">
        <s:is>
          <s:t>საწვავი / Fuel</s:t>
        </s:is>
      </s:c>
      <s:c r="E57" s="75" t="n">
        <s:v>-146.4</s:v>
      </s:c>
    </s:row>
    <s:row r="58">
      <s:c r="A58" s="74" t="n">
        <s:v>46273</s:v>
      </s:c>
      <s:c r="B58" s="66" t="inlineStr">
        <s:is>
          <s:t>საწვავი G-Force Premium 21.38 ლ — LILO</s:t>
        </s:is>
      </s:c>
      <s:c r="C58" s="66" t="inlineStr">
        <s:is>
          <s:t>Gulf</s:t>
        </s:is>
      </s:c>
      <s:c r="D58" s="66" t="inlineStr">
        <s:is>
          <s:t>საწვავი / Fuel</s:t>
        </s:is>
      </s:c>
      <s:c r="E58" s="75" t="n">
        <s:v>-81.03</s:v>
      </s:c>
    </s:row>
    <s:row r="59">
      <s:c r="A59" s="74" t="n">
        <s:v>46274</s:v>
      </s:c>
      <s:c r="B59" s="66" t="inlineStr">
        <s:is>
          <s:t>საწვავი G-Force Premium 60 ლ — ZESTAPHONI</s:t>
        </s:is>
      </s:c>
      <s:c r="C59" s="66" t="inlineStr">
        <s:is>
          <s:t>Gulf</s:t>
        </s:is>
      </s:c>
      <s:c r="D59" s="66" t="inlineStr">
        <s:is>
          <s:t>საწვავი / Fuel</s:t>
        </s:is>
      </s:c>
      <s:c r="E59" s="75" t="n">
        <s:v>-224.4</s:v>
      </s:c>
    </s:row>
    <s:row r="60">
      <s:c r="A60" s="74" t="n">
        <s:v>46276</s:v>
      </s:c>
      <s:c r="B60" s="66" t="inlineStr">
        <s:is>
          <s:t>საწვავი G-Force Premium 50 ლ — PIKRIS GORA</s:t>
        </s:is>
      </s:c>
      <s:c r="C60" s="66" t="inlineStr">
        <s:is>
          <s:t>Gulf</s:t>
        </s:is>
      </s:c>
      <s:c r="D60" s="66" t="inlineStr">
        <s:is>
          <s:t>საწვავი / Fuel</s:t>
        </s:is>
      </s:c>
      <s:c r="E60" s="75" t="n">
        <s:v>-192.5</s:v>
      </s:c>
    </s:row>
    <s:row r="61">
      <s:c r="A61" s="74" t="n">
        <s:v>46279</s:v>
      </s:c>
      <s:c r="B61" s="66" t="inlineStr">
        <s:is>
          <s:t>საწვავი G-Force Premium 65 ლ — TSEROVANI</s:t>
        </s:is>
      </s:c>
      <s:c r="C61" s="66" t="inlineStr">
        <s:is>
          <s:t>Gulf</s:t>
        </s:is>
      </s:c>
      <s:c r="D61" s="66" t="inlineStr">
        <s:is>
          <s:t>საწვავი / Fuel</s:t>
        </s:is>
      </s:c>
      <s:c r="E61" s="75" t="n">
        <s:v>-250.25</s:v>
      </s:c>
    </s:row>
    <s:row r="62">
      <s:c r="A62" s="74" t="n">
        <s:v>46282</s:v>
      </s:c>
      <s:c r="B62" s="66" t="inlineStr">
        <s:is>
          <s:t>საწვავი G-Force Premium 50 ლ — NAREKVAVI</s:t>
        </s:is>
      </s:c>
      <s:c r="C62" s="66" t="inlineStr">
        <s:is>
          <s:t>Gulf</s:t>
        </s:is>
      </s:c>
      <s:c r="D62" s="66" t="inlineStr">
        <s:is>
          <s:t>საწვავი / Fuel</s:t>
        </s:is>
      </s:c>
      <s:c r="E62" s="75" t="n">
        <s:v>-192.5</s:v>
      </s:c>
    </s:row>
    <s:row r="63">
      <s:c r="A63" s="74" t="n">
        <s:v>46287</s:v>
      </s:c>
      <s:c r="B63" s="66" t="inlineStr">
        <s:is>
          <s:t>საწვავი</s:t>
        </s:is>
      </s:c>
      <s:c r="C63" s="66" t="inlineStr">
        <s:is>
          <s:t>Gulf</s:t>
        </s:is>
      </s:c>
      <s:c r="D63" s="66" t="inlineStr">
        <s:is>
          <s:t>საწვავი / Fuel</s:t>
        </s:is>
      </s:c>
      <s:c r="E63" s="75" t="n">
        <s:v>-200</s:v>
      </s:c>
    </s:row>
    <s:row r="64">
      <s:c r="A64" s="26" t="inlineStr">
        <s:is>
          <s:t>სულ / TOTAL</s:t>
        </s:is>
      </s:c>
      <s:c r="B64" s="29" t="inlineStr"/>
      <s:c r="C64" s="29" t="inlineStr"/>
      <s:c r="D64" s="29" t="inlineStr"/>
      <s:c r="E64" s="32">
        <s:f>SUM(E13:E63)</s:f>
        <s:v>-220261.63999999998</s:v>
      </s:c>
    </s:row>
    <s:row r="66">
      <s:c r="A66" s="10" t="inlineStr">
        <s:is>
          <s:t>კატეგორიების მიხედვით / BY CATEGORY</s:t>
        </s:is>
      </s:c>
      <s:c r="B66" s="11" t="n"/>
      <s:c r="C66" s="11" t="n"/>
      <s:c r="D66" s="11" t="n"/>
      <s:c r="E66" s="11" t="n"/>
    </s:row>
    <s:row r="67">
      <s:c r="A67" s="62" t="inlineStr">
        <s:is>
          <s:t>კატეგორია / Category</s:t>
        </s:is>
      </s:c>
      <s:c r="B67" s="12" t="inlineStr">
        <s:is>
          <s:t>თანხა GEL / Amount</s:t>
        </s:is>
      </s:c>
      <s:c r="C67" s="12" t="inlineStr">
        <s:is>
          <s:t>% ჯამიდან / of total</s:t>
        </s:is>
      </s:c>
    </s:row>
    <s:row r="68">
      <s:c r="A68" s="20" t="inlineStr">
        <s:is>
          <s:t>მშენებლობის ავანსი / Construction advance</s:t>
        </s:is>
      </s:c>
      <s:c r="B68" s="33">
        <s:f>-SUMIF($D$13:$D$63,$A68,$E$13:$E$63)</s:f>
        <s:v>178544.8</s:v>
      </s:c>
      <s:c r="C68" s="22">
        <s:f>IFERROR($B68/$B$78,0)</s:f>
        <s:v>0.8106032443960737</s:v>
      </s:c>
    </s:row>
    <s:row r="69">
      <s:c r="A69" s="20" t="inlineStr">
        <s:is>
          <s:t>ხელფასი / Salaries</s:t>
        </s:is>
      </s:c>
      <s:c r="B69" s="33">
        <s:f>-SUMIF($D$13:$D$63,$A69,$E$13:$E$63)</s:f>
        <s:v>10000.0</s:v>
      </s:c>
      <s:c r="C69" s="22">
        <s:f>IFERROR($B69/$B$78,0)</s:f>
        <s:v>0.045400551816467</s:v>
      </s:c>
    </s:row>
    <s:row r="70">
      <s:c r="A70" s="20" t="inlineStr">
        <s:is>
          <s:t>გადასახადები / Taxes &amp; pension</s:t>
        </s:is>
      </s:c>
      <s:c r="B70" s="33">
        <s:f>-SUMIF($D$13:$D$63,$A70,$E$13:$E$63)</s:f>
        <s:v>1470.0</s:v>
      </s:c>
      <s:c r="C70" s="22">
        <s:f>IFERROR($B70/$B$78,0)</s:f>
        <s:v>0.006673881117020649</s:v>
      </s:c>
    </s:row>
    <s:row r="71">
      <s:c r="A71" s="20" t="inlineStr">
        <s:is>
          <s:t>მომსახურება / Services</s:t>
        </s:is>
      </s:c>
      <s:c r="B71" s="33">
        <s:f>-SUMIF($D$13:$D$63,$A71,$E$13:$E$63)</s:f>
        <s:v>3070.0</s:v>
      </s:c>
      <s:c r="C71" s="22">
        <s:f>IFERROR($B71/$B$78,0)</s:f>
        <s:v>0.01393796940765537</s:v>
      </s:c>
    </s:row>
    <s:row r="72">
      <s:c r="A72" s="20" t="inlineStr">
        <s:is>
          <s:t>საწვავი / Fuel</s:t>
        </s:is>
      </s:c>
      <s:c r="B72" s="33">
        <s:f>-SUMIF($D$13:$D$63,$A72,$E$13:$E$63)</s:f>
        <s:v>3019.65</s:v>
      </s:c>
      <s:c r="C72" s="22">
        <s:f>IFERROR($B72/$B$78,0)</s:f>
        <s:v>0.013709377629259459</s:v>
      </s:c>
    </s:row>
    <s:row r="73">
      <s:c r="A73" s="20" t="inlineStr">
        <s:is>
          <s:t>მუშების კვება / Worker meals</s:t>
        </s:is>
      </s:c>
      <s:c r="B73" s="33">
        <s:f>-SUMIF($D$13:$D$63,$A73,$E$13:$E$63)</s:f>
        <s:v>-0.0</s:v>
      </s:c>
      <s:c r="C73" s="22">
        <s:f>IFERROR($B73/$B$78,0)</s:f>
        <s:v>-0.0</s:v>
      </s:c>
    </s:row>
    <s:row r="74">
      <s:c r="A74" s="20" t="inlineStr">
        <s:is>
          <s:t>მასალები / Materials</s:t>
        </s:is>
      </s:c>
      <s:c r="B74" s="33">
        <s:f>-SUMIF($D$13:$D$63,$A74,$E$13:$E$63)</s:f>
        <s:v>5722.7</s:v>
      </s:c>
      <s:c r="C74" s="22">
        <s:f>IFERROR($B74/$B$78,0)</s:f>
        <s:v>0.02598137378800957</s:v>
      </s:c>
    </s:row>
    <s:row r="75">
      <s:c r="A75" s="20" t="inlineStr">
        <s:is>
          <s:t>მომწოდებლის ინვოისი / Supplier invoice</s:t>
        </s:is>
      </s:c>
      <s:c r="B75" s="33">
        <s:f>-SUMIF($D$13:$D$63,$A75,$E$13:$E$63)</s:f>
        <s:v>7505.41</s:v>
      </s:c>
      <s:c r="C75" s="22">
        <s:f>IFERROR($B75/$B$78,0)</s:f>
        <s:v>0.03407497556088296</s:v>
      </s:c>
    </s:row>
    <s:row r="76">
      <s:c r="A76" s="20" t="inlineStr">
        <s:is>
          <s:t>სხვა / Other</s:t>
        </s:is>
      </s:c>
      <s:c r="B76" s="33">
        <s:f>-SUMIF($D$13:$D$63,$A76,$E$13:$E$63)</s:f>
        <s:v>929.08</s:v>
      </s:c>
      <s:c r="C76" s="22">
        <s:f>IFERROR($B76/$B$78,0)</s:f>
        <s:v>0.004218074468164316</s:v>
      </s:c>
    </s:row>
    <s:row r="77">
      <s:c r="A77" s="20" t="inlineStr">
        <s:is>
          <s:t>ავანსი დირექტორზე / Advance to the director</s:t>
        </s:is>
      </s:c>
      <s:c r="B77" s="33">
        <s:f>-SUMIF($D$13:$D$63,$A77,$E$13:$E$63)</s:f>
        <s:v>10000.0</s:v>
      </s:c>
      <s:c r="C77" s="22">
        <s:f>IFERROR($B77/$B$78,0)</s:f>
        <s:v>0.045400551816467</s:v>
      </s:c>
    </s:row>
    <s:row r="78">
      <s:c r="A78" s="26" t="inlineStr">
        <s:is>
          <s:t>სულ / TOTAL</s:t>
        </s:is>
      </s:c>
      <s:c r="B78" s="32">
        <s:f>SUM(B68:B77)</s:f>
        <s:v>220261.63999999998</s:v>
      </s:c>
      <s:c r="C78" s="28">
        <s:f>IFERROR(B78/B78,0)</s:f>
        <s:v>1.0</s:v>
      </s:c>
    </s:row>
    <s:row r="79">
      <s:c r="A79" s="3" t="inlineStr">
        <s:is>
          <s:t>შემოწმება / Check vs statement total (must be 0)</s:t>
        </s:is>
      </s:c>
      <s:c r="B79" s="76">
        <s:f>B78+E64</s:f>
        <s:v>0.0</s:v>
      </s:c>
    </s:row>
    <s:row r="81">
      <s:c r="A81" s="10" t="inlineStr">
        <s:is>
          <s:t>თვეების მიხედვით / BY MONTH</s:t>
        </s:is>
      </s:c>
      <s:c r="B81" s="11" t="n"/>
      <s:c r="C81" s="11" t="n"/>
      <s:c r="D81" s="11" t="n"/>
      <s:c r="E81" s="11" t="n"/>
    </s:row>
    <s:row r="82">
      <s:c r="A82" s="62" t="inlineStr">
        <s:is>
          <s:t>თვე / Month</s:t>
        </s:is>
      </s:c>
      <s:c r="B82" s="12" t="inlineStr">
        <s:is>
          <s:t>თანხა GEL / Amount</s:t>
        </s:is>
      </s:c>
    </s:row>
    <s:row r="83">
      <s:c r="A83" s="20" t="inlineStr">
        <s:is>
          <s:t>ივლისი 2026 / July</s:t>
        </s:is>
      </s:c>
      <s:c r="B83" s="33">
        <s:f>-SUMPRODUCT(($A$13:$A$63&gt;=DATE(2026,7,1))*($A$13:$A$63&lt;=DATE(2026,7,31))*$E$13:$E$63)</s:f>
        <s:v>69796.68000000001</s:v>
      </s:c>
    </s:row>
    <s:row r="84">
      <s:c r="A84" s="20" t="inlineStr">
        <s:is>
          <s:t>აგვისტო 2026 / August</s:t>
        </s:is>
      </s:c>
      <s:c r="B84" s="33">
        <s:f>-SUMPRODUCT(($A$13:$A$63&gt;=DATE(2026,8,1))*($A$13:$A$63&lt;=DATE(2026,8,31))*$E$13:$E$63)</s:f>
        <s:v>22040.5</s:v>
      </s:c>
    </s:row>
    <s:row r="85">
      <s:c r="A85" s="20" t="inlineStr">
        <s:is>
          <s:t>სექტემბერი 2026 (21-მდე) / September (to the 21st)</s:t>
        </s:is>
      </s:c>
      <s:c r="B85" s="33">
        <s:f>-SUMPRODUCT(($A$13:$A$63&gt;=DATE(2026,9,1))*($A$13:$A$63&lt;=DATE(2026,9,30))*$E$13:$E$63)</s:f>
        <s:v>128424.45999999999</s:v>
      </s:c>
    </s:row>
    <s:row r="86">
      <s:c r="A86" s="26" t="inlineStr">
        <s:is>
          <s:t>სულ / TOTAL</s:t>
        </s:is>
      </s:c>
      <s:c r="B86" s="32">
        <s:f>SUM(B83:B85)</s:f>
        <s:v>220261.64</s:v>
      </s:c>
    </s:row>
    <s:row r="88">
      <s:c r="A88" s="10" t="inlineStr">
        <s:is>
          <s:t>ძირითადი ფაქტები / KEY FACTS</s:t>
        </s:is>
      </s:c>
      <s:c r="B88" s="11" t="n"/>
      <s:c r="C88" s="11" t="n"/>
      <s:c r="D88" s="11" t="n"/>
      <s:c r="E88" s="11" t="n"/>
    </s:row>
    <s:row r="89">
      <s:c r="A89" s="17" t="inlineStr">
        <s:is>
          <s:t>გაცვლითი კურსი 09/07/2026 (22,000 USD) / FX rate on the 09/07/2026 transfer</s:t>
        </s:is>
      </s:c>
      <s:c r="B89" s="77">
        <s:f>-E17/22000</s:f>
        <s:v>2.6384000000000003</s:v>
      </s:c>
      <s:c r="C89" s="45" t="inlineStr">
        <s:is>
          <s:t>დანიშნულებაში მითითებული კურსი 2.6384 / the description states 2.6384</s:t>
        </s:is>
      </s:c>
    </s:row>
    <s:row r="90">
      <s:c r="A90" s="17" t="inlineStr">
        <s:is>
          <s:t>გაცვლითი კურსი 04/08/2026 (5,000 USD) / FX rate on the 04/08/2026 transfer</s:t>
        </s:is>
      </s:c>
      <s:c r="B90" s="77">
        <s:f>-E20/5000</s:f>
        <s:v>2.62</s:v>
      </s:c>
      <s:c r="C90" s="45" t="inlineStr">
        <s:is>
          <s:t>დანიშნულებაში კურსი არ არის მითითებული / no rate stated in the description</s:t>
        </s:is>
      </s:c>
    </s:row>
    <s:row r="91">
      <s:c r="A91" s="17" t="inlineStr">
        <s:is>
          <s:t>მშენებლობის ავანსები / Construction advances paid (USD)</s:t>
        </s:is>
      </s:c>
      <s:c r="B91" s="36">
        <s:f>22000+5000</s:f>
        <s:v>27000.0</s:v>
      </s:c>
      <s:c r="C91" s="45" t="inlineStr">
        <s:is>
          <s:t>ხელშეკრულება N1, 7/6/2026, შპს ჯიესენ გრუპ / contract N1 of 7/6/2026 with LLC GSN Group</s:t>
        </s:is>
      </s:c>
    </s:row>
    <s:row r="92">
      <s:c r="A92" s="17" t="inlineStr">
        <s:is>
          <s:t>მშენებლობის ავანსები / Construction advances paid (GEL)</s:t>
        </s:is>
      </s:c>
      <s:c r="B92" s="78">
        <s:f>B68</s:f>
        <s:v>178544.8</s:v>
      </s:c>
      <s:c r="C92" s="45" t="inlineStr">
        <s:is>
          <s:t>ორივე გადარიცხვის ჯამი / the two transfers above</s:t>
        </s:is>
      </s:c>
    </s:row>
    <s:row r="93">
      <s:c r="A93" s="17" t="inlineStr">
        <s:is>
          <s:t>სულ გადახდილი / Total paid out (GEL)</s:t>
        </s:is>
      </s:c>
      <s:c r="B93" s="41">
        <s:f>-E64</s:f>
        <s:v>220261.63999999998</s:v>
      </s:c>
      <s:c r="C93" s="45" t="inlineStr">
        <s:is>
          <s:t>01/07–08/09/2026</s:t>
        </s:is>
      </s:c>
    </s:row>
    <s:row r="94">
      <s:c r="A94" s="17" t="inlineStr">
        <s:is>
          <s:t>შემოსავალი ამონაწერში / Inflows in the statement (GEL)</s:t>
        </s:is>
      </s:c>
      <s:c r="B94" s="41">
        <s:f>0</s:f>
        <s:v>0.0</s:v>
      </s:c>
      <s:c r="C94" s="45" t="inlineStr">
        <s:is>
          <s:t>ამონაწერში შემოსავალი არ ფიქსირდება — 140,000 USD სესხი ამ ანგარიშზე ამ პერიოდში არ ჩანს. / The statement shows no inflows; the USD 140,000 loan is not visible in this account for this period.</s:t>
        </s:is>
      </s:c>
    </s:row>
    <s:row r="96">
      <s:c r="A96" s="2" t="inlineStr">
        <s:is>
          <s:t>შენიშვნა: ამონაწერი მხოლოდ ერთ ანგარიშს ფარავს და მასში შემოსავალი არ არის. თუ სესხი სხვა ანგარიშზეა ჩარიცხული, დაამატეთ ის ამონაწერიც. / Note: the statement covers one account and contains no inflows. If the loan was disbursed into another account, add that statement too.</s:t>
        </s:is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2026-09-22T08:47:09Z</dcterms:created>
  <dcterms:modified xsi:type="dcterms:W3CDTF">2026-09-22T08:47:09Z</dcterms:modified>
</cp:coreProperties>
</file>