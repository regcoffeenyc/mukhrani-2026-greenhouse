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51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B23</s:f>
        <s:v>220261.63999999998</s:v>
      </s:c>
      <s:c r="C7" s="19">
        <s:f>IFERROR(B7/$B$6,0)</s:f>
        <s:v>0.35241862399999996</s:v>
      </s:c>
      <s:c r="D7" s="20" t="str">
        <s:f>REPT("|",ROUND(C7*40,0))</s:f>
        <s:v>||||||||||||||</s:v>
      </s:c>
    </s:row>
    <s:row r="8">
      <s:c r="A8" s="17" t="inlineStr">
        <s:is>
          <s:t>ვალდებულება — ხელშეკრულებების ნაშთი / COMMITTED — contracts outstanding</s:t>
        </s:is>
      </s:c>
      <s:c r="B8" s="18">
        <s:f>D38</s:f>
        <s:v>176511.19999999998</s:v>
      </s:c>
      <s:c r="C8" s="19">
        <s:f>IFERROR(B8/$B$6,0)</s:f>
        <s:v>0.28241792</s:v>
      </s:c>
      <s:c r="D8" s="20" t="str">
        <s:f>REPT("|",ROUND(C8*40,0))</s:f>
        <s:v>|||||||||||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396772.83999999997</s:v>
      </s:c>
      <s:c r="C9" s="23">
        <s:f>IFERROR(B9/$B$6,0)</s:f>
        <s:v>0.634836544</s:v>
      </s:c>
      <s:c r="D9" s="24" t="str">
        <s:f>REPT("|",ROUND(C9*40,0))</s:f>
        <s:v>|||||||||||||||||||||||||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228227.16000000003</s:v>
      </s:c>
      <s:c r="C10" s="23">
        <s:f>IFERROR(B10/$B$6,0)</s:f>
        <s:v>0.36516345600000005</s:v>
      </s:c>
      <s:c r="D10" s="24" t="str">
        <s:f>REPT("|",ROUND(C10*40,0))</s:f>
        <s:v>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Actuals!B68</s:f>
        <s:v>178544.8</s:v>
      </s:c>
      <s:c r="C14" s="26">
        <s:f>IFERROR(B14/$B$23,0)</s:f>
        <s:v>0.8106032443960737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Actuals!B69</s:f>
        <s:v>10000.0</s:v>
      </s:c>
      <s:c r="C15" s="26">
        <s:f>IFERROR(B15/$B$23,0)</s:f>
        <s:v>0.045400551816467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Actuals!B70</s:f>
        <s:v>1470.0</s:v>
      </s:c>
      <s:c r="C16" s="26">
        <s:f>IFERROR(B16/$B$23,0)</s:f>
        <s:v>0.006673881117020649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Actuals!B71</s:f>
        <s:v>3070.0</s:v>
      </s:c>
      <s:c r="C17" s="26">
        <s:f>IFERROR(B17/$B$23,0)</s:f>
        <s:v>0.01393796940765537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საწვავი / Fuel</s:t>
        </s:is>
      </s:c>
      <s:c r="B18" s="25">
        <s:f>Actuals!B72</s:f>
        <s:v>3019.65</s:v>
      </s:c>
      <s:c r="C18" s="26">
        <s:f>IFERROR(B18/$B$23,0)</s:f>
        <s:v>0.013709377629259459</s:v>
      </s:c>
      <s:c r="D18" s="27" t="inlineStr">
        <s:is>
          <s:t>OPEX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მუშების კვება / Worker meals</s:t>
        </s:is>
      </s:c>
      <s:c r="B19" s="25">
        <s:f>Actuals!B73</s:f>
        <s:v>10000.0</s:v>
      </s:c>
      <s:c r="C19" s="26">
        <s:f>IFERROR(B19/$B$23,0)</s:f>
        <s:v>0.045400551816467</s:v>
      </s:c>
      <s:c r="D19" s="27" t="inlineStr">
        <s:is>
          <s:t>OPEX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მასალები / Materials</s:t>
        </s:is>
      </s:c>
      <s:c r="B20" s="25">
        <s:f>Actuals!B74</s:f>
        <s:v>5722.7</s:v>
      </s:c>
      <s:c r="C20" s="26">
        <s:f>IFERROR(B20/$B$23,0)</s:f>
        <s:v>0.02598137378800957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0" t="inlineStr">
        <s:is>
          <s:t>მომწოდებლის ინვოისი / Supplier invoice</s:t>
        </s:is>
      </s:c>
      <s:c r="B21" s="25">
        <s:f>Actuals!B75</s:f>
        <s:v>7505.41</s:v>
      </s:c>
      <s:c r="C21" s="26">
        <s:f>IFERROR(B21/$B$23,0)</s:f>
        <s:v>0.03407497556088296</s:v>
      </s:c>
      <s:c r="D21" s="27" t="inlineStr">
        <s:is>
          <s:t>CAPEX</s:t>
        </s:is>
      </s:c>
      <s:c r="E21" s="28" t="n"/>
      <s:c r="F21" s="29" t="str">
        <s:f>IF(E21="","",E21-B21)</s:f>
        <s:v/>
      </s:c>
    </s:row>
    <s:row r="22">
      <s:c r="A22" s="20" t="inlineStr">
        <s:is>
          <s:t>სხვა / Other</s:t>
        </s:is>
      </s:c>
      <s:c r="B22" s="25">
        <s:f>Actuals!B76</s:f>
        <s:v>929.08</s:v>
      </s:c>
      <s:c r="C22" s="26">
        <s:f>IFERROR(B22/$B$23,0)</s:f>
        <s:v>0.004218074468164316</s:v>
      </s:c>
      <s:c r="D22" s="27" t="inlineStr">
        <s:is>
          <s:t>CAPEX</s:t>
        </s:is>
      </s:c>
      <s:c r="E22" s="28" t="n"/>
      <s:c r="F22" s="29" t="str">
        <s:f>IF(E22="","",E22-B22)</s:f>
        <s:v/>
      </s:c>
    </s:row>
    <s:row r="23">
      <s:c r="A23" s="21" t="inlineStr">
        <s:is>
          <s:t>სულ დახარჯული / TOTAL SPENT</s:t>
        </s:is>
      </s:c>
      <s:c r="B23" s="30">
        <s:f>SUM(B14:B22)</s:f>
        <s:v>220261.63999999998</s:v>
      </s:c>
      <s:c r="C23" s="23">
        <s:f>IFERROR(B23/B23,0)</s:f>
        <s:v>1.0</s:v>
      </s:c>
      <s:c r="D23" s="24" t="inlineStr"/>
      <s:c r="E23" s="22" t="str">
        <s:f>IF(COUNT(E14:E22)=0,"",SUM(E14:E22))</s:f>
        <s:v/>
      </s:c>
      <s:c r="F23" s="22" t="str">
        <s:f>IF(E23="","",E23-B23)</s:f>
        <s:v/>
      </s:c>
    </s:row>
    <s:row r="25">
      <s:c r="A25" s="10" t="inlineStr">
        <s:is>
          <s:t>3. ბიუჯეტის ნაშთი თვეების მიხედვით / BUDGET DRAWDOWN BY MONTH</s:t>
        </s:is>
      </s:c>
      <s:c r="B25" s="11" t="n"/>
      <s:c r="C25" s="11" t="n"/>
      <s:c r="D25" s="11" t="n"/>
      <s:c r="E25" s="11" t="n"/>
      <s:c r="F25" s="11" t="n"/>
    </s:row>
    <s:row r="26">
      <s:c r="A26" s="12" t="inlineStr">
        <s:is>
          <s:t>თვე / Month</s:t>
        </s:is>
      </s:c>
      <s:c r="B26" s="12" t="inlineStr">
        <s:is>
          <s:t>ხარჯი / Spend</s:t>
        </s:is>
      </s:c>
      <s:c r="C26" s="12" t="inlineStr">
        <s:is>
          <s:t>კუმულატიური / Cumulative</s:t>
        </s:is>
      </s:c>
      <s:c r="D26" s="12" t="inlineStr">
        <s:is>
          <s:t>ბიუჯეტის ნაშთი / Budget left</s:t>
        </s:is>
      </s:c>
    </s:row>
    <s:row r="27">
      <s:c r="A27" s="20" t="inlineStr">
        <s:is>
          <s:t>ივლისი 2026 / July</s:t>
        </s:is>
      </s:c>
      <s:c r="B27" s="25">
        <s:f>Actuals!B82</s:f>
        <s:v>69796.68000000001</s:v>
      </s:c>
      <s:c r="C27" s="31">
        <s:f>SUM($B$27:B27)</s:f>
        <s:v>69796.68000000001</s:v>
      </s:c>
      <s:c r="D27" s="18">
        <s:f>$B$6-C27</s:f>
        <s:v>555203.32</s:v>
      </s:c>
    </s:row>
    <s:row r="28">
      <s:c r="A28" s="20" t="inlineStr">
        <s:is>
          <s:t>აგვისტო 2026 / August</s:t>
        </s:is>
      </s:c>
      <s:c r="B28" s="25">
        <s:f>Actuals!B83</s:f>
        <s:v>22040.5</s:v>
      </s:c>
      <s:c r="C28" s="31">
        <s:f>SUM($B$27:B28)</s:f>
        <s:v>91837.18000000001</s:v>
      </s:c>
      <s:c r="D28" s="18">
        <s:f>$B$6-C28</s:f>
        <s:v>533162.82</s:v>
      </s:c>
    </s:row>
    <s:row r="29">
      <s:c r="A29" s="20" t="inlineStr">
        <s:is>
          <s:t>სექტემბერი 2026 (21-მდე) / September (to the 21st)</s:t>
        </s:is>
      </s:c>
      <s:c r="B29" s="25">
        <s:f>Actuals!B84</s:f>
        <s:v>128424.45999999999</s:v>
      </s:c>
      <s:c r="C29" s="31">
        <s:f>SUM($B$27:B29)</s:f>
        <s:v>220261.64</s:v>
      </s:c>
      <s:c r="D29" s="18">
        <s:f>$B$6-C29</s:f>
        <s:v>404738.36</s:v>
      </s:c>
    </s:row>
    <s:row r="30">
      <s:c r="A30" s="21" t="inlineStr">
        <s:is>
          <s:t>სულ / TOTAL</s:t>
        </s:is>
      </s:c>
      <s:c r="B30" s="30">
        <s:f>SUM(B27:B29)</s:f>
        <s:v>220261.64</s:v>
      </s:c>
      <s:c r="C30" s="30">
        <s:f>B30-B23</s:f>
        <s:v>2.9103830456733704e-11</s:v>
      </s:c>
      <s:c r="D30" s="22">
        <s:f>$B$6-B30</s:f>
        <s:v>404738.36</s:v>
      </s:c>
      <s:c r="G30" s="2" t="inlineStr">
        <s:is>
          <s:t>C30 შემოწმებაა — უნდა იყოს 0 / C30 is a check — it must read 0</s:t>
        </s:is>
      </s:c>
    </s:row>
    <s:row r="32">
      <s:c r="A32" s="10" t="inlineStr">
        <s:is>
          <s:t>4. ხელშეკრულებები — შპს ჯიესენ გრუპი / CONTRACTS — LLC GSN GROUP</s:t>
        </s:is>
      </s:c>
      <s:c r="B32" s="11" t="n"/>
      <s:c r="C32" s="11" t="n"/>
      <s:c r="D32" s="11" t="n"/>
      <s:c r="E32" s="11" t="n"/>
      <s:c r="F32" s="11" t="n"/>
    </s:row>
    <s:row r="33">
      <s:c r="A33" s="12" t="inlineStr">
        <s:is>
          <s:t>მუხლი / Item</s:t>
        </s:is>
      </s:c>
      <s:c r="B33" s="12" t="inlineStr">
        <s:is>
          <s:t>USD</s:t>
        </s:is>
      </s:c>
      <s:c r="C33" s="12" t="inlineStr">
        <s:is>
          <s:t>კურსი / Rate</s:t>
        </s:is>
      </s:c>
      <s:c r="D33" s="12" t="inlineStr">
        <s:is>
          <s:t>GEL</s:t>
        </s:is>
      </s:c>
    </s:row>
    <s:row r="34">
      <s:c r="A34" s="20" t="inlineStr">
        <s:is>
          <s:t>N1 — სათბური / the greenhouse</s:t>
        </s:is>
      </s:c>
      <s:c r="B34" s="32" t="n">
        <s:v>125000</s:v>
      </s:c>
      <s:c r="C34" s="33">
        <s:f>Assumptions!$B$28</s:f>
        <s:v>2.6384</s:v>
      </s:c>
      <s:c r="D34" s="29">
        <s:f>B34*Assumptions!$B$28</s:f>
        <s:v>329800.0</s:v>
      </s:c>
      <s:c r="G34" s="2" t="inlineStr">
        <s:is>
          <s:t>ხელშეკრულება N1, 7/6/2026 / contract N1 of 7 June 2026</s:t>
        </s:is>
      </s:c>
    </s:row>
    <s:row r="35">
      <s:c r="A35" s="20" t="inlineStr">
        <s:is>
          <s:t>ტექნიკური ოთახი 200 მ² — პერიმეტრის ბეტონი და ბლოკი / technical room 200 m2 — perimeter concrete and blockwork</s:t>
        </s:is>
      </s:c>
      <s:c r="B35" s="32" t="n">
        <s:v>10000</s:v>
      </s:c>
      <s:c r="C35" s="33">
        <s:f>Assumptions!$B$28</s:f>
        <s:v>2.6384</s:v>
      </s:c>
      <s:c r="D35" s="29">
        <s:f>B35*Assumptions!$B$28</s:f>
        <s:v>26384.0</s:v>
      </s:c>
      <s:c r="G35" s="2" t="inlineStr">
        <s:is>
          <s:t>მფლობელის მონაცემი 22/09/2026 — ხელშეკრულების ნომერი დასადასტურებელია / owner-reported 22 Sep 2026; the contract reference still needs confirming</s:t>
        </s:is>
      </s:c>
    </s:row>
    <s:row r="36">
      <s:c r="A36" s="17" t="inlineStr">
        <s:is>
          <s:t>ჯამი / Total contracted</s:t>
        </s:is>
      </s:c>
      <s:c r="B36" s="34">
        <s:f>B34+B35</s:f>
        <s:v>135000.0</s:v>
      </s:c>
      <s:c r="C36" s="33">
        <s:f>Assumptions!$B$28</s:f>
        <s:v>2.6384</s:v>
      </s:c>
      <s:c r="D36" s="18">
        <s:f>B36*Assumptions!$B$28</s:f>
        <s:v>356184.0</s:v>
      </s:c>
    </s:row>
    <s:row r="37">
      <s:c r="A37" s="20" t="inlineStr">
        <s:is>
          <s:t>გადახდილი ავანსი / Advances paid</s:t>
        </s:is>
      </s:c>
      <s:c r="B37" s="35">
        <s:f>22000+5000+40000+2900/Assumptions!$B$28</s:f>
        <s:v>68099.15100060643</s:v>
      </s:c>
      <s:c r="C37" s="36">
        <s:f>IFERROR(D37/B37,0)</s:f>
        <s:v>2.6218359168443968</s:v>
      </s:c>
      <s:c r="D37" s="25">
        <s:f>Actuals!B68</s:f>
        <s:v>178544.8</s:v>
      </s:c>
      <s:c r="G37" s="2" t="inlineStr">
        <s:is>
          <s:t>09/07 — 22,000 $ · 04/08 — 5,000 $ · 14/09 — 2,900 ₾ ≈ 1,099 $ (ერ.კ. 2.6384) · 19/09 — 40,000 $ ერ.კ. 2.6125 · ყველა N1-ზე / all against N1</s:t>
        </s:is>
      </s:c>
    </s:row>
    <s:row r="38">
      <s:c r="A38" s="21" t="inlineStr">
        <s:is>
          <s:t>დარჩენილი გადასახდელი / Outstanding</s:t>
        </s:is>
      </s:c>
      <s:c r="B38" s="37">
        <s:f>B36-B37</s:f>
        <s:v>66900.84899939357</s:v>
      </s:c>
      <s:c r="C38" s="38">
        <s:f>Assumptions!$B$28</s:f>
        <s:v>2.6384</s:v>
      </s:c>
      <s:c r="D38" s="22">
        <s:f>B38*Assumptions!$B$28</s:f>
        <s:v>176511.19999999998</s:v>
      </s:c>
    </s:row>
    <s:row r="39">
      <s:c r="A39" s="17" t="inlineStr">
        <s:is>
          <s:t>შესრულების წილი / Share of the contracted work paid</s:t>
        </s:is>
      </s:c>
      <s:c r="B39" s="19">
        <s:f>IFERROR(B37/B36,0)</s:f>
        <s:v>0.5044381555600477</s:v>
      </s:c>
    </s:row>
    <s:row r="41">
      <s:c r="A41" s="10" t="inlineStr">
        <s:is>
          <s:t>5. კაპიტალური თუ საოპერაციო / CAPITAL OR OPERATING</s:t>
        </s:is>
      </s:c>
      <s:c r="B41" s="11" t="n"/>
      <s:c r="C41" s="11" t="n"/>
      <s:c r="D41" s="11" t="n"/>
      <s:c r="E41" s="11" t="n"/>
      <s:c r="F41" s="11" t="n"/>
    </s:row>
    <s:row r="42">
      <s:c r="A42" s="17" t="inlineStr">
        <s:is>
          <s:t>კაპიტალიზებული / Capitalised (CAPEX)</s:t>
        </s:is>
      </s:c>
      <s:c r="B42" s="39">
        <s:f>SUMIF($D$14:$D$22,"CAPEX",$B$14:$B$22)</s:f>
        <s:v>192701.99</s:v>
      </s:c>
      <s:c r="C42" s="19">
        <s:f>IFERROR(B42/$B$23,0)</s:f>
        <s:v>0.8748776682131305</s:v>
      </s:c>
      <s:c r="G42" s="2" t="inlineStr">
        <s:is>
          <s:t>სათბურის ღირებულებაში / into the cost of the greenhouse</s:t>
        </s:is>
      </s:c>
    </s:row>
    <s:row r="43">
      <s:c r="A43" s="17" t="inlineStr">
        <s:is>
          <s:t>პრე-საოპერაციო ხარჯი / Pre-operating running costs</s:t>
        </s:is>
      </s:c>
      <s:c r="B43" s="39">
        <s:f>SUMIF($D$14:$D$22,"OPEX",$B$14:$B$22)</s:f>
        <s:v>27559.65</s:v>
      </s:c>
      <s:c r="C43" s="19">
        <s:f>IFERROR(B43/$B$23,0)</s:f>
        <s:v>0.1251223317868695</s:v>
      </s:c>
      <s:c r="G43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4">
      <s:c r="A44" s="17" t="inlineStr">
        <s:is>
          <s:t>შემოწმება / Check (must be 0)</s:t>
        </s:is>
      </s:c>
      <s:c r="B44" s="40">
        <s:f>B42+B43-B23</s:f>
        <s:v>0.0</s:v>
      </s:c>
    </s:row>
    <s:row r="46">
      <s:c r="A46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7">
      <s:c r="A47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8">
      <s:c r="A48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9">
      <s:c r="A49" s="2" t="inlineStr">
        <s:is>
          <s:t>· The budget is the credit amount; the spend comes from the bank statement — edit it on Actuals.</s:t>
        </s:is>
      </s:c>
    </s:row>
    <s:row r="50">
      <s:c r="A50" s="2" t="inlineStr">
        <s:is>
          <s:t>· The credit is drawn in tranches, so no single disbursement shows in the statement.</s:t>
        </s:is>
      </s:c>
    </s:row>
    <s:row r="51">
      <s:c r="A51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1" t="n">
        <s:v>2000</s:v>
      </s:c>
      <s:c r="C6" s="42" t="inlineStr">
        <s:is>
          <s:t>m²</s:t>
        </s:is>
      </s:c>
      <s:c r="D6" s="43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4" t="n">
        <s:v>2</s:v>
      </s:c>
      <s:c r="C7" s="42" t="inlineStr">
        <s:is>
          <s:t>cycles</s:t>
        </s:is>
      </s:c>
      <s:c r="D7" s="43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5" t="n">
        <s:v>85</s:v>
      </s:c>
      <s:c r="C10" s="42" t="inlineStr">
        <s:is>
          <s:t>tons</s:t>
        </s:is>
      </s:c>
      <s:c r="D10" s="43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2" t="inlineStr">
        <s:is>
          <s:t>kg</s:t>
        </s:is>
      </s:c>
      <s:c r="D11" s="43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6">
        <s:f>B11/B6</s:f>
        <s:v>42.5</s:v>
      </s:c>
      <s:c r="C12" s="42" t="inlineStr">
        <s:is>
          <s:t>kg/m²</s:t>
        </s:is>
      </s:c>
      <s:c r="D12" s="43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7" t="n">
        <s:v>4.5</s:v>
      </s:c>
      <s:c r="C13" s="42" t="inlineStr">
        <s:is>
          <s:t>GEL/kg</s:t>
        </s:is>
      </s:c>
      <s:c r="D13" s="43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5" t="n">
        <s:v>70</s:v>
      </s:c>
      <s:c r="C14" s="42" t="inlineStr">
        <s:is>
          <s:t>tons</s:t>
        </s:is>
      </s:c>
      <s:c r="D14" s="43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2" t="inlineStr">
        <s:is>
          <s:t>kg</s:t>
        </s:is>
      </s:c>
      <s:c r="D15" s="43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6">
        <s:f>B15/B6</s:f>
        <s:v>35.0</s:v>
      </s:c>
      <s:c r="C16" s="42" t="inlineStr">
        <s:is>
          <s:t>kg/m²</s:t>
        </s:is>
      </s:c>
      <s:c r="D16" s="43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7" t="n">
        <s:v>3</s:v>
      </s:c>
      <s:c r="C17" s="42" t="inlineStr">
        <s:is>
          <s:t>GEL/kg</s:t>
        </s:is>
      </s:c>
      <s:c r="D17" s="43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8">
        <s:f>B10+B14</s:f>
        <s:v>155.0</s:v>
      </s:c>
      <s:c r="C18" s="42" t="inlineStr">
        <s:is>
          <s:t>tons</s:t>
        </s:is>
      </s:c>
      <s:c r="D18" s="43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9">
        <s:f>(B11*B13+B15*B17)/(B11+B15)</s:f>
        <s:v>3.8225806451612905</s:v>
      </s:c>
      <s:c r="C19" s="42" t="inlineStr">
        <s:is>
          <s:t>GEL/kg</s:t>
        </s:is>
      </s:c>
      <s:c r="D19" s="43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9" t="n">
        <s:v>150000</s:v>
      </s:c>
      <s:c r="C22" s="42" t="inlineStr">
        <s:is>
          <s:t>GEL</s:t>
        </s:is>
      </s:c>
      <s:c r="D22" s="43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50">
        <s:f>OPEX!B14</s:f>
        <s:v>150000.0</s:v>
      </s:c>
      <s:c r="C23" s="42" t="inlineStr">
        <s:is>
          <s:t>GEL</s:t>
        </s:is>
      </s:c>
      <s:c r="D23" s="43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2" t="inlineStr">
        <s:is>
          <s:t>GEL</s:t>
        </s:is>
      </s:c>
      <s:c r="D24" s="43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1" t="n">
        <s:v>625000</s:v>
      </s:c>
      <s:c r="C27" s="42" t="inlineStr">
        <s:is>
          <s:t>GEL</s:t>
        </s:is>
      </s:c>
      <s:c r="D27" s="43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2" t="n">
        <s:v>2.6384</s:v>
      </s:c>
      <s:c r="C28" s="42" t="inlineStr">
        <s:is>
          <s:t>GEL/USD</s:t>
        </s:is>
      </s:c>
      <s:c r="D28" s="43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2" t="inlineStr">
        <s:is>
          <s:t>GEL</s:t>
        </s:is>
      </s:c>
      <s:c r="D29" s="43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3" t="n">
        <s:v>0.1264</s:v>
      </s:c>
      <s:c r="C30" s="42" t="inlineStr">
        <s:is>
          <s:t>%</s:t>
        </s:is>
      </s:c>
      <s:c r="D30" s="43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4" t="n">
        <s:v>120</s:v>
      </s:c>
      <s:c r="C31" s="42" t="inlineStr">
        <s:is>
          <s:t>months</s:t>
        </s:is>
      </s:c>
      <s:c r="D31" s="43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4" t="n">
        <s:v>12</s:v>
      </s:c>
      <s:c r="C32" s="42" t="inlineStr">
        <s:is>
          <s:t>months</s:t>
        </s:is>
      </s:c>
      <s:c r="D32" s="43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2" t="inlineStr">
        <s:is>
          <s:t>GEL</s:t>
        </s:is>
      </s:c>
      <s:c r="D33" s="43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3" t="n">
        <s:v>0.11</s:v>
      </s:c>
      <s:c r="C34" s="42" t="inlineStr">
        <s:is>
          <s:t>%</s:t>
        </s:is>
      </s:c>
      <s:c r="D34" s="43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4" t="n">
        <s:v>48</s:v>
      </s:c>
      <s:c r="C35" s="42" t="inlineStr">
        <s:is>
          <s:t>months</s:t>
        </s:is>
      </s:c>
      <s:c r="D35" s="43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3" t="n">
        <s:v>0.134</s:v>
      </s:c>
      <s:c r="C36" s="42" t="inlineStr">
        <s:is>
          <s:t>%</s:t>
        </s:is>
      </s:c>
      <s:c r="D36" s="43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4" t="n">
        <s:v>24</s:v>
      </s:c>
      <s:c r="C37" s="42" t="inlineStr">
        <s:is>
          <s:t>month</s:t>
        </s:is>
      </s:c>
      <s:c r="D37" s="43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4" t="n">
        <s:v>0.02</s:v>
      </s:c>
      <s:c r="C39" s="42" t="inlineStr">
        <s:is>
          <s:t>%</s:t>
        </s:is>
      </s:c>
      <s:c r="D39" s="43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4" t="n">
        <s:v>0.03</s:v>
      </s:c>
      <s:c r="C40" s="42" t="inlineStr">
        <s:is>
          <s:t>%</s:t>
        </s:is>
      </s:c>
      <s:c r="D40" s="43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4" t="n">
        <s:v>0.04</s:v>
      </s:c>
      <s:c r="C41" s="42" t="inlineStr">
        <s:is>
          <s:t>%</s:t>
        </s:is>
      </s:c>
      <s:c r="D41" s="43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3" t="n">
        <s:v>0</s:v>
      </s:c>
      <s:c r="C44" s="42" t="inlineStr">
        <s:is>
          <s:t>%</s:t>
        </s:is>
      </s:c>
      <s:c r="D44" s="43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5" t="n">
        <s:v>0</s:v>
      </s:c>
      <s:c r="C45" s="42" t="inlineStr">
        <s:is>
          <s:t>GEL</s:t>
        </s:is>
      </s:c>
      <s:c r="D45" s="43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4" t="n">
        <s:v>0</s:v>
      </s:c>
      <s:c r="C46" s="42" t="inlineStr">
        <s:is>
          <s:t>1/0</s:t>
        </s:is>
      </s:c>
      <s:c r="D46" s="43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2" t="inlineStr">
        <s:is>
          <s:t>GEL</s:t>
        </s:is>
      </s:c>
      <s:c r="D47" s="43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6" t="n">
        <s:v>2</s:v>
      </s:c>
      <s:c r="C48" s="42" t="inlineStr">
        <s:is>
          <s:t>yr</s:t>
        </s:is>
      </s:c>
      <s:c r="D48" s="43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7">
        <s:f>CF_Monthly!N19</s:f>
        <s:v>592500.0</s:v>
      </s:c>
      <s:c r="C51" s="42" t="inlineStr">
        <s:is>
          <s:t>GEL</s:t>
        </s:is>
      </s:c>
      <s:c r="D51" s="43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7">
        <s:f>CF_Monthly!N30</s:f>
        <s:v>150000.0</s:v>
      </s:c>
      <s:c r="C52" s="42" t="inlineStr">
        <s:is>
          <s:t>GEL</s:t>
        </s:is>
      </s:c>
      <s:c r="D52" s="43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7">
        <s:f>CF_Monthly!N32</s:f>
        <s:v>442500.0</s:v>
      </s:c>
      <s:c r="C53" s="42" t="inlineStr">
        <s:is>
          <s:t>GEL</s:t>
        </s:is>
      </s:c>
      <s:c r="D53" s="43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8">
        <s:f>IFERROR(B53/B51,0)</s:f>
        <s:v>0.7468354430379747</s:v>
      </s:c>
      <s:c r="C54" s="42" t="inlineStr"/>
      <s:c r="D54" s="43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7">
        <s:f>CF_Monthly!N36</s:f>
        <s:v>47168.730570487125</s:v>
      </s:c>
      <s:c r="C55" s="42" t="inlineStr">
        <s:is>
          <s:t>GEL</s:t>
        </s:is>
      </s:c>
      <s:c r="D55" s="43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7">
        <s:f>CF_Monthly!N43</s:f>
        <s:v>395331.2694295129</s:v>
      </s:c>
      <s:c r="C56" s="42" t="inlineStr">
        <s:is>
          <s:t>GEL</s:t>
        </s:is>
      </s:c>
      <s:c r="D56" s="43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9">
        <s:f>IFERROR(B53/B55,0)</s:f>
        <s:v>9.381214941511837</s:v>
      </s:c>
      <s:c r="C57" s="42" t="inlineStr"/>
      <s:c r="D57" s="43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7">
        <s:f>Budget!B21</s:f>
        <s:v>7505.41</s:v>
      </s:c>
      <s:c r="C58" s="42" t="inlineStr">
        <s:is>
          <s:t>GEL</s:t>
        </s:is>
      </s:c>
      <s:c r="D58" s="43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7">
        <s:f>Budget!B38</s:f>
        <s:v>66900.84899939357</s:v>
      </s:c>
      <s:c r="C59" s="42" t="inlineStr">
        <s:is>
          <s:t>GEL</s:t>
        </s:is>
      </s:c>
      <s:c r="D59" s="43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60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5" t="n">
        <s:v>48000</s:v>
      </s:c>
      <s:c r="C6" s="61" t="n">
        <s:v>0.09</s:v>
      </s:c>
      <s:c r="D6" s="61" t="n">
        <s:v>0.09</s:v>
      </s:c>
      <s:c r="E6" s="61" t="n">
        <s:v>0.09</s:v>
      </s:c>
      <s:c r="F6" s="61" t="n">
        <s:v>0.08</s:v>
      </s:c>
      <s:c r="G6" s="61" t="n">
        <s:v>0.07000000000000001</s:v>
      </s:c>
      <s:c r="H6" s="61" t="n">
        <s:v>0.09</s:v>
      </s:c>
      <s:c r="I6" s="61" t="n">
        <s:v>0.09</s:v>
      </s:c>
      <s:c r="J6" s="61" t="n">
        <s:v>0.09</s:v>
      </s:c>
      <s:c r="K6" s="61" t="n">
        <s:v>0.08</s:v>
      </s:c>
      <s:c r="L6" s="61" t="n">
        <s:v>0.07000000000000001</s:v>
      </s:c>
      <s:c r="M6" s="61" t="n">
        <s:v>0.07000000000000001</s:v>
      </s:c>
      <s:c r="N6" s="61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5" t="n">
        <s:v>36000</s:v>
      </s:c>
      <s:c r="C7" s="61" t="n">
        <s:v>0.25</s:v>
      </s:c>
      <s:c r="D7" s="61" t="n">
        <s:v>0.22</s:v>
      </s:c>
      <s:c r="E7" s="61" t="n">
        <s:v>0.13</s:v>
      </s:c>
      <s:c r="F7" s="61" t="n">
        <s:v>0.03</s:v>
      </s:c>
      <s:c r="G7" s="61" t="n">
        <s:v>0</s:v>
      </s:c>
      <s:c r="H7" s="61" t="n">
        <s:v>0</s:v>
      </s:c>
      <s:c r="I7" s="61" t="n">
        <s:v>0</s:v>
      </s:c>
      <s:c r="J7" s="61" t="n">
        <s:v>0</s:v>
      </s:c>
      <s:c r="K7" s="61" t="n">
        <s:v>0</s:v>
      </s:c>
      <s:c r="L7" s="61" t="n">
        <s:v>0.04</s:v>
      </s:c>
      <s:c r="M7" s="61" t="n">
        <s:v>0.13</s:v>
      </s:c>
      <s:c r="N7" s="61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5" t="n">
        <s:v>12000</s:v>
      </s:c>
      <s:c r="C8" s="61" t="n">
        <s:v>0.08</s:v>
      </s:c>
      <s:c r="D8" s="61" t="n">
        <s:v>0.08</s:v>
      </s:c>
      <s:c r="E8" s="61" t="n">
        <s:v>0.08</s:v>
      </s:c>
      <s:c r="F8" s="61" t="n">
        <s:v>0.08</s:v>
      </s:c>
      <s:c r="G8" s="61" t="n">
        <s:v>0.09</s:v>
      </s:c>
      <s:c r="H8" s="61" t="n">
        <s:v>0.1</s:v>
      </s:c>
      <s:c r="I8" s="61" t="n">
        <s:v>0.11</s:v>
      </s:c>
      <s:c r="J8" s="61" t="n">
        <s:v>0.11</s:v>
      </s:c>
      <s:c r="K8" s="61" t="n">
        <s:v>0.09</s:v>
      </s:c>
      <s:c r="L8" s="61" t="n">
        <s:v>0.06</s:v>
      </s:c>
      <s:c r="M8" s="61" t="n">
        <s:v>0.06</s:v>
      </s:c>
      <s:c r="N8" s="61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5" t="n">
        <s:v>14000</s:v>
      </s:c>
      <s:c r="C9" s="61" t="n">
        <s:v>0</s:v>
      </s:c>
      <s:c r="D9" s="61" t="n">
        <s:v>0</s:v>
      </s:c>
      <s:c r="E9" s="61" t="n">
        <s:v>0.2</s:v>
      </s:c>
      <s:c r="F9" s="61" t="n">
        <s:v>0.25</s:v>
      </s:c>
      <s:c r="G9" s="61" t="n">
        <s:v>0</s:v>
      </s:c>
      <s:c r="H9" s="61" t="n">
        <s:v>0</s:v>
      </s:c>
      <s:c r="I9" s="61" t="n">
        <s:v>0</s:v>
      </s:c>
      <s:c r="J9" s="61" t="n">
        <s:v>0.3</s:v>
      </s:c>
      <s:c r="K9" s="61" t="n">
        <s:v>0.25</s:v>
      </s:c>
      <s:c r="L9" s="61" t="n">
        <s:v>0</s:v>
      </s:c>
      <s:c r="M9" s="61" t="n">
        <s:v>0</s:v>
      </s:c>
      <s:c r="N9" s="61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5" t="n">
        <s:v>18000</s:v>
      </s:c>
      <s:c r="C10" s="61" t="n">
        <s:v>0.08</s:v>
      </s:c>
      <s:c r="D10" s="61" t="n">
        <s:v>0.1</s:v>
      </s:c>
      <s:c r="E10" s="61" t="n">
        <s:v>0.12</s:v>
      </s:c>
      <s:c r="F10" s="61" t="n">
        <s:v>0.1</s:v>
      </s:c>
      <s:c r="G10" s="61" t="n">
        <s:v>0.08</s:v>
      </s:c>
      <s:c r="H10" s="61" t="n">
        <s:v>0.08</s:v>
      </s:c>
      <s:c r="I10" s="61" t="n">
        <s:v>0.08</s:v>
      </s:c>
      <s:c r="J10" s="61" t="n">
        <s:v>0.08</s:v>
      </s:c>
      <s:c r="K10" s="61" t="n">
        <s:v>0.1</s:v>
      </s:c>
      <s:c r="L10" s="61" t="n">
        <s:v>0.1</s:v>
      </s:c>
      <s:c r="M10" s="61" t="n">
        <s:v>0.04</s:v>
      </s:c>
      <s:c r="N10" s="61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5" t="n">
        <s:v>10000</s:v>
      </s:c>
      <s:c r="C11" s="61" t="n">
        <s:v>0.12</s:v>
      </s:c>
      <s:c r="D11" s="61" t="n">
        <s:v>0.14</s:v>
      </s:c>
      <s:c r="E11" s="61" t="n">
        <s:v>0.14</s:v>
      </s:c>
      <s:c r="F11" s="61" t="n">
        <s:v>0.08</s:v>
      </s:c>
      <s:c r="G11" s="61" t="n">
        <s:v>0</s:v>
      </s:c>
      <s:c r="H11" s="61" t="n">
        <s:v>0.07000000000000001</s:v>
      </s:c>
      <s:c r="I11" s="61" t="n">
        <s:v>0.11</s:v>
      </s:c>
      <s:c r="J11" s="61" t="n">
        <s:v>0.11</s:v>
      </s:c>
      <s:c r="K11" s="61" t="n">
        <s:v>0.07000000000000001</s:v>
      </s:c>
      <s:c r="L11" s="61" t="n">
        <s:v>0</s:v>
      </s:c>
      <s:c r="M11" s="61" t="n">
        <s:v>0</s:v>
      </s:c>
      <s:c r="N11" s="61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5" t="n">
        <s:v>6000</s:v>
      </s:c>
      <s:c r="C12" s="61" t="n">
        <s:v>0.02</s:v>
      </s:c>
      <s:c r="D12" s="61" t="n">
        <s:v>0.02</s:v>
      </s:c>
      <s:c r="E12" s="61" t="n">
        <s:v>0.02</s:v>
      </s:c>
      <s:c r="F12" s="61" t="n">
        <s:v>0.04</s:v>
      </s:c>
      <s:c r="G12" s="61" t="n">
        <s:v>0.2</s:v>
      </s:c>
      <s:c r="H12" s="61" t="n">
        <s:v>0.1</s:v>
      </s:c>
      <s:c r="I12" s="61" t="n">
        <s:v>0.02</s:v>
      </s:c>
      <s:c r="J12" s="61" t="n">
        <s:v>0.02</s:v>
      </s:c>
      <s:c r="K12" s="61" t="n">
        <s:v>0.03</s:v>
      </s:c>
      <s:c r="L12" s="61" t="n">
        <s:v>0.25</s:v>
      </s:c>
      <s:c r="M12" s="61" t="n">
        <s:v>0.25</s:v>
      </s:c>
      <s:c r="N12" s="61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5" t="n">
        <s:v>6000</s:v>
      </s:c>
      <s:c r="C13" s="61" t="n">
        <s:v>0.08</s:v>
      </s:c>
      <s:c r="D13" s="61" t="n">
        <s:v>0.08</s:v>
      </s:c>
      <s:c r="E13" s="61" t="n">
        <s:v>0.09</s:v>
      </s:c>
      <s:c r="F13" s="61" t="n">
        <s:v>0.08</s:v>
      </s:c>
      <s:c r="G13" s="61" t="n">
        <s:v>0.08</s:v>
      </s:c>
      <s:c r="H13" s="61" t="n">
        <s:v>0.09</s:v>
      </s:c>
      <s:c r="I13" s="61" t="n">
        <s:v>0.08</s:v>
      </s:c>
      <s:c r="J13" s="61" t="n">
        <s:v>0.08</s:v>
      </s:c>
      <s:c r="K13" s="61" t="n">
        <s:v>0.09</s:v>
      </s:c>
      <s:c r="L13" s="61" t="n">
        <s:v>0.08</s:v>
      </s:c>
      <s:c r="M13" s="61" t="n">
        <s:v>0.08</s:v>
      </s:c>
      <s:c r="N13" s="61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60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2" t="n">
        <s:v>1</s:v>
      </s:c>
      <s:c r="B5" s="63">
        <s:f>EDATE(DATE(2026,6,17),A5)</s:f>
        <s:v>46220.0</s:v>
      </s:c>
      <s:c r="C5" s="62">
        <s:f>INT((A5-1)/12)+1</s:f>
        <s:v>1.0</s:v>
      </s:c>
      <s:c r="D5" s="50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2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2" t="n">
        <s:v>2</s:v>
      </s:c>
      <s:c r="B6" s="63">
        <s:f>EDATE(DATE(2026,6,17),A6)</s:f>
        <s:v>46251.0</s:v>
      </s:c>
      <s:c r="C6" s="62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2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2" t="n">
        <s:v>3</s:v>
      </s:c>
      <s:c r="B7" s="63">
        <s:f>EDATE(DATE(2026,6,17),A7)</s:f>
        <s:v>46282.0</s:v>
      </s:c>
      <s:c r="C7" s="62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2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2" t="n">
        <s:v>4</s:v>
      </s:c>
      <s:c r="B8" s="63">
        <s:f>EDATE(DATE(2026,6,17),A8)</s:f>
        <s:v>46312.0</s:v>
      </s:c>
      <s:c r="C8" s="62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2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2" t="n">
        <s:v>5</s:v>
      </s:c>
      <s:c r="B9" s="63">
        <s:f>EDATE(DATE(2026,6,17),A9)</s:f>
        <s:v>46343.0</s:v>
      </s:c>
      <s:c r="C9" s="62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2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2" t="n">
        <s:v>6</s:v>
      </s:c>
      <s:c r="B10" s="63">
        <s:f>EDATE(DATE(2026,6,17),A10)</s:f>
        <s:v>46373.0</s:v>
      </s:c>
      <s:c r="C10" s="62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2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2" t="n">
        <s:v>7</s:v>
      </s:c>
      <s:c r="B11" s="63">
        <s:f>EDATE(DATE(2026,6,17),A11)</s:f>
        <s:v>46404.0</s:v>
      </s:c>
      <s:c r="C11" s="62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2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2" t="n">
        <s:v>8</s:v>
      </s:c>
      <s:c r="B12" s="63">
        <s:f>EDATE(DATE(2026,6,17),A12)</s:f>
        <s:v>46435.0</s:v>
      </s:c>
      <s:c r="C12" s="62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2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2" t="n">
        <s:v>9</s:v>
      </s:c>
      <s:c r="B13" s="63">
        <s:f>EDATE(DATE(2026,6,17),A13)</s:f>
        <s:v>46463.0</s:v>
      </s:c>
      <s:c r="C13" s="62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2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2" t="n">
        <s:v>10</s:v>
      </s:c>
      <s:c r="B14" s="63">
        <s:f>EDATE(DATE(2026,6,17),A14)</s:f>
        <s:v>46494.0</s:v>
      </s:c>
      <s:c r="C14" s="62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2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2" t="n">
        <s:v>11</s:v>
      </s:c>
      <s:c r="B15" s="63">
        <s:f>EDATE(DATE(2026,6,17),A15)</s:f>
        <s:v>46524.0</s:v>
      </s:c>
      <s:c r="C15" s="62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2" t="n">
        <s:v>12</s:v>
      </s:c>
      <s:c r="B16" s="63">
        <s:f>EDATE(DATE(2026,6,17),A16)</s:f>
        <s:v>46555.0</s:v>
      </s:c>
      <s:c r="C16" s="62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2" t="n">
        <s:v>13</s:v>
      </s:c>
      <s:c r="B17" s="63">
        <s:f>EDATE(DATE(2026,6,17),A17)</s:f>
        <s:v>46585.0</s:v>
      </s:c>
      <s:c r="C17" s="62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2" t="n">
        <s:v>14</s:v>
      </s:c>
      <s:c r="B18" s="63">
        <s:f>EDATE(DATE(2026,6,17),A18)</s:f>
        <s:v>46616.0</s:v>
      </s:c>
      <s:c r="C18" s="62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60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2" t="n">
        <s:v>15</s:v>
      </s:c>
      <s:c r="B19" s="63">
        <s:f>EDATE(DATE(2026,6,17),A19)</s:f>
        <s:v>46647.0</s:v>
      </s:c>
      <s:c r="C19" s="62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5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2" t="n">
        <s:v>16</s:v>
      </s:c>
      <s:c r="B20" s="63">
        <s:f>EDATE(DATE(2026,6,17),A20)</s:f>
        <s:v>46677.0</s:v>
      </s:c>
      <s:c r="C20" s="62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5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2" t="n">
        <s:v>17</s:v>
      </s:c>
      <s:c r="B21" s="63">
        <s:f>EDATE(DATE(2026,6,17),A21)</s:f>
        <s:v>46708.0</s:v>
      </s:c>
      <s:c r="C21" s="62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5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2" t="n">
        <s:v>18</s:v>
      </s:c>
      <s:c r="B22" s="63">
        <s:f>EDATE(DATE(2026,6,17),A22)</s:f>
        <s:v>46738.0</s:v>
      </s:c>
      <s:c r="C22" s="62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2" t="n">
        <s:v>19</s:v>
      </s:c>
      <s:c r="B23" s="63">
        <s:f>EDATE(DATE(2026,6,17),A23)</s:f>
        <s:v>46769.0</s:v>
      </s:c>
      <s:c r="C23" s="62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2" t="n">
        <s:v>20</s:v>
      </s:c>
      <s:c r="B24" s="63">
        <s:f>EDATE(DATE(2026,6,17),A24)</s:f>
        <s:v>46800.0</s:v>
      </s:c>
      <s:c r="C24" s="62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2" t="n">
        <s:v>21</s:v>
      </s:c>
      <s:c r="B25" s="63">
        <s:f>EDATE(DATE(2026,6,17),A25)</s:f>
        <s:v>46829.0</s:v>
      </s:c>
      <s:c r="C25" s="62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3" t="inlineStr">
        <s:is>
          <s:t>ბანკის გრაფიკი / bank: 9,768.75</s:t>
        </s:is>
      </s:c>
    </s:row>
    <s:row r="26">
      <s:c r="A26" s="62" t="n">
        <s:v>22</s:v>
      </s:c>
      <s:c r="B26" s="63">
        <s:f>EDATE(DATE(2026,6,17),A26)</s:f>
        <s:v>46860.0</s:v>
      </s:c>
      <s:c r="C26" s="62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3" t="inlineStr">
        <s:is>
          <s:t>ბანკის გრაფიკი / bank: 10,012.50</s:t>
        </s:is>
      </s:c>
    </s:row>
    <s:row r="27">
      <s:c r="A27" s="62" t="n">
        <s:v>23</s:v>
      </s:c>
      <s:c r="B27" s="63">
        <s:f>EDATE(DATE(2026,6,17),A27)</s:f>
        <s:v>46890.0</s:v>
      </s:c>
      <s:c r="C27" s="62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2" t="n">
        <s:v>24</s:v>
      </s:c>
      <s:c r="B28" s="63">
        <s:f>EDATE(DATE(2026,6,17),A28)</s:f>
        <s:v>46921.0</s:v>
      </s:c>
      <s:c r="C28" s="62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2" t="n">
        <s:v>25</s:v>
      </s:c>
      <s:c r="B29" s="63">
        <s:f>EDATE(DATE(2026,6,17),A29)</s:f>
        <s:v>46951.0</s:v>
      </s:c>
      <s:c r="C29" s="62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2" t="n">
        <s:v>26</s:v>
      </s:c>
      <s:c r="B30" s="63">
        <s:f>EDATE(DATE(2026,6,17),A30)</s:f>
        <s:v>46982.0</s:v>
      </s:c>
      <s:c r="C30" s="62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2" t="n">
        <s:v>27</s:v>
      </s:c>
      <s:c r="B31" s="63">
        <s:f>EDATE(DATE(2026,6,17),A31)</s:f>
        <s:v>47013.0</s:v>
      </s:c>
      <s:c r="C31" s="62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2" t="n">
        <s:v>28</s:v>
      </s:c>
      <s:c r="B32" s="63">
        <s:f>EDATE(DATE(2026,6,17),A32)</s:f>
        <s:v>47043.0</s:v>
      </s:c>
      <s:c r="C32" s="62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2" t="n">
        <s:v>29</s:v>
      </s:c>
      <s:c r="B33" s="63">
        <s:f>EDATE(DATE(2026,6,17),A33)</s:f>
        <s:v>47074.0</s:v>
      </s:c>
      <s:c r="C33" s="62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2" t="n">
        <s:v>30</s:v>
      </s:c>
      <s:c r="B34" s="63">
        <s:f>EDATE(DATE(2026,6,17),A34)</s:f>
        <s:v>47104.0</s:v>
      </s:c>
      <s:c r="C34" s="62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2" t="n">
        <s:v>31</s:v>
      </s:c>
      <s:c r="B35" s="63">
        <s:f>EDATE(DATE(2026,6,17),A35)</s:f>
        <s:v>47135.0</s:v>
      </s:c>
      <s:c r="C35" s="62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2" t="n">
        <s:v>32</s:v>
      </s:c>
      <s:c r="B36" s="63">
        <s:f>EDATE(DATE(2026,6,17),A36)</s:f>
        <s:v>47166.0</s:v>
      </s:c>
      <s:c r="C36" s="62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2" t="n">
        <s:v>33</s:v>
      </s:c>
      <s:c r="B37" s="63">
        <s:f>EDATE(DATE(2026,6,17),A37)</s:f>
        <s:v>47194.0</s:v>
      </s:c>
      <s:c r="C37" s="62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2" t="n">
        <s:v>34</s:v>
      </s:c>
      <s:c r="B38" s="63">
        <s:f>EDATE(DATE(2026,6,17),A38)</s:f>
        <s:v>47225.0</s:v>
      </s:c>
      <s:c r="C38" s="62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2" t="n">
        <s:v>35</s:v>
      </s:c>
      <s:c r="B39" s="63">
        <s:f>EDATE(DATE(2026,6,17),A39)</s:f>
        <s:v>47255.0</s:v>
      </s:c>
      <s:c r="C39" s="62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2" t="n">
        <s:v>36</s:v>
      </s:c>
      <s:c r="B40" s="63">
        <s:f>EDATE(DATE(2026,6,17),A40)</s:f>
        <s:v>47286.0</s:v>
      </s:c>
      <s:c r="C40" s="62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2" t="n">
        <s:v>37</s:v>
      </s:c>
      <s:c r="B41" s="63">
        <s:f>EDATE(DATE(2026,6,17),A41)</s:f>
        <s:v>47316.0</s:v>
      </s:c>
      <s:c r="C41" s="62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2" t="n">
        <s:v>38</s:v>
      </s:c>
      <s:c r="B42" s="63">
        <s:f>EDATE(DATE(2026,6,17),A42)</s:f>
        <s:v>47347.0</s:v>
      </s:c>
      <s:c r="C42" s="62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2" t="n">
        <s:v>39</s:v>
      </s:c>
      <s:c r="B43" s="63">
        <s:f>EDATE(DATE(2026,6,17),A43)</s:f>
        <s:v>47378.0</s:v>
      </s:c>
      <s:c r="C43" s="62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2" t="n">
        <s:v>40</s:v>
      </s:c>
      <s:c r="B44" s="63">
        <s:f>EDATE(DATE(2026,6,17),A44)</s:f>
        <s:v>47408.0</s:v>
      </s:c>
      <s:c r="C44" s="62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2" t="n">
        <s:v>41</s:v>
      </s:c>
      <s:c r="B45" s="63">
        <s:f>EDATE(DATE(2026,6,17),A45)</s:f>
        <s:v>47439.0</s:v>
      </s:c>
      <s:c r="C45" s="62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2" t="n">
        <s:v>42</s:v>
      </s:c>
      <s:c r="B46" s="63">
        <s:f>EDATE(DATE(2026,6,17),A46)</s:f>
        <s:v>47469.0</s:v>
      </s:c>
      <s:c r="C46" s="62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2" t="n">
        <s:v>43</s:v>
      </s:c>
      <s:c r="B47" s="63">
        <s:f>EDATE(DATE(2026,6,17),A47)</s:f>
        <s:v>47500.0</s:v>
      </s:c>
      <s:c r="C47" s="62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2" t="n">
        <s:v>44</s:v>
      </s:c>
      <s:c r="B48" s="63">
        <s:f>EDATE(DATE(2026,6,17),A48)</s:f>
        <s:v>47531.0</s:v>
      </s:c>
      <s:c r="C48" s="62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2" t="n">
        <s:v>45</s:v>
      </s:c>
      <s:c r="B49" s="63">
        <s:f>EDATE(DATE(2026,6,17),A49)</s:f>
        <s:v>47559.0</s:v>
      </s:c>
      <s:c r="C49" s="62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2" t="n">
        <s:v>46</s:v>
      </s:c>
      <s:c r="B50" s="63">
        <s:f>EDATE(DATE(2026,6,17),A50)</s:f>
        <s:v>47590.0</s:v>
      </s:c>
      <s:c r="C50" s="62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2" t="n">
        <s:v>47</s:v>
      </s:c>
      <s:c r="B51" s="63">
        <s:f>EDATE(DATE(2026,6,17),A51)</s:f>
        <s:v>47620.0</s:v>
      </s:c>
      <s:c r="C51" s="62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2" t="n">
        <s:v>48</s:v>
      </s:c>
      <s:c r="B52" s="63">
        <s:f>EDATE(DATE(2026,6,17),A52)</s:f>
        <s:v>47651.0</s:v>
      </s:c>
      <s:c r="C52" s="62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2" t="n">
        <s:v>49</s:v>
      </s:c>
      <s:c r="B53" s="63">
        <s:f>EDATE(DATE(2026,6,17),A53)</s:f>
        <s:v>47681.0</s:v>
      </s:c>
      <s:c r="C53" s="62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2" t="n">
        <s:v>50</s:v>
      </s:c>
      <s:c r="B54" s="63">
        <s:f>EDATE(DATE(2026,6,17),A54)</s:f>
        <s:v>47712.0</s:v>
      </s:c>
      <s:c r="C54" s="62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2" t="n">
        <s:v>51</s:v>
      </s:c>
      <s:c r="B55" s="63">
        <s:f>EDATE(DATE(2026,6,17),A55)</s:f>
        <s:v>47743.0</s:v>
      </s:c>
      <s:c r="C55" s="62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2" t="n">
        <s:v>52</s:v>
      </s:c>
      <s:c r="B56" s="63">
        <s:f>EDATE(DATE(2026,6,17),A56)</s:f>
        <s:v>47773.0</s:v>
      </s:c>
      <s:c r="C56" s="62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2" t="n">
        <s:v>53</s:v>
      </s:c>
      <s:c r="B57" s="63">
        <s:f>EDATE(DATE(2026,6,17),A57)</s:f>
        <s:v>47804.0</s:v>
      </s:c>
      <s:c r="C57" s="62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2" t="n">
        <s:v>54</s:v>
      </s:c>
      <s:c r="B58" s="63">
        <s:f>EDATE(DATE(2026,6,17),A58)</s:f>
        <s:v>47834.0</s:v>
      </s:c>
      <s:c r="C58" s="62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2" t="n">
        <s:v>55</s:v>
      </s:c>
      <s:c r="B59" s="63">
        <s:f>EDATE(DATE(2026,6,17),A59)</s:f>
        <s:v>47865.0</s:v>
      </s:c>
      <s:c r="C59" s="62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2" t="n">
        <s:v>56</s:v>
      </s:c>
      <s:c r="B60" s="63">
        <s:f>EDATE(DATE(2026,6,17),A60)</s:f>
        <s:v>47896.0</s:v>
      </s:c>
      <s:c r="C60" s="62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2" t="n">
        <s:v>57</s:v>
      </s:c>
      <s:c r="B61" s="63">
        <s:f>EDATE(DATE(2026,6,17),A61)</s:f>
        <s:v>47924.0</s:v>
      </s:c>
      <s:c r="C61" s="62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2" t="n">
        <s:v>58</s:v>
      </s:c>
      <s:c r="B62" s="63">
        <s:f>EDATE(DATE(2026,6,17),A62)</s:f>
        <s:v>47955.0</s:v>
      </s:c>
      <s:c r="C62" s="62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2" t="n">
        <s:v>59</s:v>
      </s:c>
      <s:c r="B63" s="63">
        <s:f>EDATE(DATE(2026,6,17),A63)</s:f>
        <s:v>47985.0</s:v>
      </s:c>
      <s:c r="C63" s="62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2" t="n">
        <s:v>60</s:v>
      </s:c>
      <s:c r="B64" s="63">
        <s:f>EDATE(DATE(2026,6,17),A64)</s:f>
        <s:v>48016.0</s:v>
      </s:c>
      <s:c r="C64" s="62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2" t="n">
        <s:v>61</s:v>
      </s:c>
      <s:c r="B65" s="63">
        <s:f>EDATE(DATE(2026,6,17),A65)</s:f>
        <s:v>48046.0</s:v>
      </s:c>
      <s:c r="C65" s="62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2" t="n">
        <s:v>62</s:v>
      </s:c>
      <s:c r="B66" s="63">
        <s:f>EDATE(DATE(2026,6,17),A66)</s:f>
        <s:v>48077.0</s:v>
      </s:c>
      <s:c r="C66" s="62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2" t="n">
        <s:v>63</s:v>
      </s:c>
      <s:c r="B67" s="63">
        <s:f>EDATE(DATE(2026,6,17),A67)</s:f>
        <s:v>48108.0</s:v>
      </s:c>
      <s:c r="C67" s="62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2" t="n">
        <s:v>64</s:v>
      </s:c>
      <s:c r="B68" s="63">
        <s:f>EDATE(DATE(2026,6,17),A68)</s:f>
        <s:v>48138.0</s:v>
      </s:c>
      <s:c r="C68" s="62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2" t="n">
        <s:v>65</s:v>
      </s:c>
      <s:c r="B69" s="63">
        <s:f>EDATE(DATE(2026,6,17),A69)</s:f>
        <s:v>48169.0</s:v>
      </s:c>
      <s:c r="C69" s="62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2" t="n">
        <s:v>66</s:v>
      </s:c>
      <s:c r="B70" s="63">
        <s:f>EDATE(DATE(2026,6,17),A70)</s:f>
        <s:v>48199.0</s:v>
      </s:c>
      <s:c r="C70" s="62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2" t="n">
        <s:v>67</s:v>
      </s:c>
      <s:c r="B71" s="63">
        <s:f>EDATE(DATE(2026,6,17),A71)</s:f>
        <s:v>48230.0</s:v>
      </s:c>
      <s:c r="C71" s="62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2" t="n">
        <s:v>68</s:v>
      </s:c>
      <s:c r="B72" s="63">
        <s:f>EDATE(DATE(2026,6,17),A72)</s:f>
        <s:v>48261.0</s:v>
      </s:c>
      <s:c r="C72" s="62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2" t="n">
        <s:v>69</s:v>
      </s:c>
      <s:c r="B73" s="63">
        <s:f>EDATE(DATE(2026,6,17),A73)</s:f>
        <s:v>48290.0</s:v>
      </s:c>
      <s:c r="C73" s="62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2" t="n">
        <s:v>70</s:v>
      </s:c>
      <s:c r="B74" s="63">
        <s:f>EDATE(DATE(2026,6,17),A74)</s:f>
        <s:v>48321.0</s:v>
      </s:c>
      <s:c r="C74" s="62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2" t="n">
        <s:v>71</s:v>
      </s:c>
      <s:c r="B75" s="63">
        <s:f>EDATE(DATE(2026,6,17),A75)</s:f>
        <s:v>48351.0</s:v>
      </s:c>
      <s:c r="C75" s="62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2" t="n">
        <s:v>72</s:v>
      </s:c>
      <s:c r="B76" s="63">
        <s:f>EDATE(DATE(2026,6,17),A76)</s:f>
        <s:v>48382.0</s:v>
      </s:c>
      <s:c r="C76" s="62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2" t="n">
        <s:v>73</s:v>
      </s:c>
      <s:c r="B77" s="63">
        <s:f>EDATE(DATE(2026,6,17),A77)</s:f>
        <s:v>48412.0</s:v>
      </s:c>
      <s:c r="C77" s="62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2" t="n">
        <s:v>74</s:v>
      </s:c>
      <s:c r="B78" s="63">
        <s:f>EDATE(DATE(2026,6,17),A78)</s:f>
        <s:v>48443.0</s:v>
      </s:c>
      <s:c r="C78" s="62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2" t="n">
        <s:v>75</s:v>
      </s:c>
      <s:c r="B79" s="63">
        <s:f>EDATE(DATE(2026,6,17),A79)</s:f>
        <s:v>48474.0</s:v>
      </s:c>
      <s:c r="C79" s="62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2" t="n">
        <s:v>76</s:v>
      </s:c>
      <s:c r="B80" s="63">
        <s:f>EDATE(DATE(2026,6,17),A80)</s:f>
        <s:v>48504.0</s:v>
      </s:c>
      <s:c r="C80" s="62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2" t="n">
        <s:v>77</s:v>
      </s:c>
      <s:c r="B81" s="63">
        <s:f>EDATE(DATE(2026,6,17),A81)</s:f>
        <s:v>48535.0</s:v>
      </s:c>
      <s:c r="C81" s="62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2" t="n">
        <s:v>78</s:v>
      </s:c>
      <s:c r="B82" s="63">
        <s:f>EDATE(DATE(2026,6,17),A82)</s:f>
        <s:v>48565.0</s:v>
      </s:c>
      <s:c r="C82" s="62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2" t="n">
        <s:v>79</s:v>
      </s:c>
      <s:c r="B83" s="63">
        <s:f>EDATE(DATE(2026,6,17),A83)</s:f>
        <s:v>48596.0</s:v>
      </s:c>
      <s:c r="C83" s="62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2" t="n">
        <s:v>80</s:v>
      </s:c>
      <s:c r="B84" s="63">
        <s:f>EDATE(DATE(2026,6,17),A84)</s:f>
        <s:v>48627.0</s:v>
      </s:c>
      <s:c r="C84" s="62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2" t="n">
        <s:v>81</s:v>
      </s:c>
      <s:c r="B85" s="63">
        <s:f>EDATE(DATE(2026,6,17),A85)</s:f>
        <s:v>48655.0</s:v>
      </s:c>
      <s:c r="C85" s="62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2" t="n">
        <s:v>82</s:v>
      </s:c>
      <s:c r="B86" s="63">
        <s:f>EDATE(DATE(2026,6,17),A86)</s:f>
        <s:v>48686.0</s:v>
      </s:c>
      <s:c r="C86" s="62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2" t="n">
        <s:v>83</s:v>
      </s:c>
      <s:c r="B87" s="63">
        <s:f>EDATE(DATE(2026,6,17),A87)</s:f>
        <s:v>48716.0</s:v>
      </s:c>
      <s:c r="C87" s="62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2" t="n">
        <s:v>84</s:v>
      </s:c>
      <s:c r="B88" s="63">
        <s:f>EDATE(DATE(2026,6,17),A88)</s:f>
        <s:v>48747.0</s:v>
      </s:c>
      <s:c r="C88" s="62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2" t="n">
        <s:v>85</s:v>
      </s:c>
      <s:c r="B89" s="63">
        <s:f>EDATE(DATE(2026,6,17),A89)</s:f>
        <s:v>48777.0</s:v>
      </s:c>
      <s:c r="C89" s="62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2" t="n">
        <s:v>86</s:v>
      </s:c>
      <s:c r="B90" s="63">
        <s:f>EDATE(DATE(2026,6,17),A90)</s:f>
        <s:v>48808.0</s:v>
      </s:c>
      <s:c r="C90" s="62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2" t="n">
        <s:v>87</s:v>
      </s:c>
      <s:c r="B91" s="63">
        <s:f>EDATE(DATE(2026,6,17),A91)</s:f>
        <s:v>48839.0</s:v>
      </s:c>
      <s:c r="C91" s="62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2" t="n">
        <s:v>88</s:v>
      </s:c>
      <s:c r="B92" s="63">
        <s:f>EDATE(DATE(2026,6,17),A92)</s:f>
        <s:v>48869.0</s:v>
      </s:c>
      <s:c r="C92" s="62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2" t="n">
        <s:v>89</s:v>
      </s:c>
      <s:c r="B93" s="63">
        <s:f>EDATE(DATE(2026,6,17),A93)</s:f>
        <s:v>48900.0</s:v>
      </s:c>
      <s:c r="C93" s="62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2" t="n">
        <s:v>90</s:v>
      </s:c>
      <s:c r="B94" s="63">
        <s:f>EDATE(DATE(2026,6,17),A94)</s:f>
        <s:v>48930.0</s:v>
      </s:c>
      <s:c r="C94" s="62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2" t="n">
        <s:v>91</s:v>
      </s:c>
      <s:c r="B95" s="63">
        <s:f>EDATE(DATE(2026,6,17),A95)</s:f>
        <s:v>48961.0</s:v>
      </s:c>
      <s:c r="C95" s="62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2" t="n">
        <s:v>92</s:v>
      </s:c>
      <s:c r="B96" s="63">
        <s:f>EDATE(DATE(2026,6,17),A96)</s:f>
        <s:v>48992.0</s:v>
      </s:c>
      <s:c r="C96" s="62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2" t="n">
        <s:v>93</s:v>
      </s:c>
      <s:c r="B97" s="63">
        <s:f>EDATE(DATE(2026,6,17),A97)</s:f>
        <s:v>49020.0</s:v>
      </s:c>
      <s:c r="C97" s="62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2" t="n">
        <s:v>94</s:v>
      </s:c>
      <s:c r="B98" s="63">
        <s:f>EDATE(DATE(2026,6,17),A98)</s:f>
        <s:v>49051.0</s:v>
      </s:c>
      <s:c r="C98" s="62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2" t="n">
        <s:v>95</s:v>
      </s:c>
      <s:c r="B99" s="63">
        <s:f>EDATE(DATE(2026,6,17),A99)</s:f>
        <s:v>49081.0</s:v>
      </s:c>
      <s:c r="C99" s="62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2" t="n">
        <s:v>96</s:v>
      </s:c>
      <s:c r="B100" s="63">
        <s:f>EDATE(DATE(2026,6,17),A100)</s:f>
        <s:v>49112.0</s:v>
      </s:c>
      <s:c r="C100" s="62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2" t="n">
        <s:v>97</s:v>
      </s:c>
      <s:c r="B101" s="63">
        <s:f>EDATE(DATE(2026,6,17),A101)</s:f>
        <s:v>49142.0</s:v>
      </s:c>
      <s:c r="C101" s="62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2" t="n">
        <s:v>98</s:v>
      </s:c>
      <s:c r="B102" s="63">
        <s:f>EDATE(DATE(2026,6,17),A102)</s:f>
        <s:v>49173.0</s:v>
      </s:c>
      <s:c r="C102" s="62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2" t="n">
        <s:v>99</s:v>
      </s:c>
      <s:c r="B103" s="63">
        <s:f>EDATE(DATE(2026,6,17),A103)</s:f>
        <s:v>49204.0</s:v>
      </s:c>
      <s:c r="C103" s="62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2" t="n">
        <s:v>100</s:v>
      </s:c>
      <s:c r="B104" s="63">
        <s:f>EDATE(DATE(2026,6,17),A104)</s:f>
        <s:v>49234.0</s:v>
      </s:c>
      <s:c r="C104" s="62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2" t="n">
        <s:v>101</s:v>
      </s:c>
      <s:c r="B105" s="63">
        <s:f>EDATE(DATE(2026,6,17),A105)</s:f>
        <s:v>49265.0</s:v>
      </s:c>
      <s:c r="C105" s="62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2" t="n">
        <s:v>102</s:v>
      </s:c>
      <s:c r="B106" s="63">
        <s:f>EDATE(DATE(2026,6,17),A106)</s:f>
        <s:v>49295.0</s:v>
      </s:c>
      <s:c r="C106" s="62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2" t="n">
        <s:v>103</s:v>
      </s:c>
      <s:c r="B107" s="63">
        <s:f>EDATE(DATE(2026,6,17),A107)</s:f>
        <s:v>49326.0</s:v>
      </s:c>
      <s:c r="C107" s="62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2" t="n">
        <s:v>104</s:v>
      </s:c>
      <s:c r="B108" s="63">
        <s:f>EDATE(DATE(2026,6,17),A108)</s:f>
        <s:v>49357.0</s:v>
      </s:c>
      <s:c r="C108" s="62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2" t="n">
        <s:v>105</s:v>
      </s:c>
      <s:c r="B109" s="63">
        <s:f>EDATE(DATE(2026,6,17),A109)</s:f>
        <s:v>49385.0</s:v>
      </s:c>
      <s:c r="C109" s="62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2" t="n">
        <s:v>106</s:v>
      </s:c>
      <s:c r="B110" s="63">
        <s:f>EDATE(DATE(2026,6,17),A110)</s:f>
        <s:v>49416.0</s:v>
      </s:c>
      <s:c r="C110" s="62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2" t="n">
        <s:v>107</s:v>
      </s:c>
      <s:c r="B111" s="63">
        <s:f>EDATE(DATE(2026,6,17),A111)</s:f>
        <s:v>49446.0</s:v>
      </s:c>
      <s:c r="C111" s="62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2" t="n">
        <s:v>108</s:v>
      </s:c>
      <s:c r="B112" s="63">
        <s:f>EDATE(DATE(2026,6,17),A112)</s:f>
        <s:v>49477.0</s:v>
      </s:c>
      <s:c r="C112" s="62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2" t="n">
        <s:v>109</s:v>
      </s:c>
      <s:c r="B113" s="63">
        <s:f>EDATE(DATE(2026,6,17),A113)</s:f>
        <s:v>49507.0</s:v>
      </s:c>
      <s:c r="C113" s="62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2" t="n">
        <s:v>110</s:v>
      </s:c>
      <s:c r="B114" s="63">
        <s:f>EDATE(DATE(2026,6,17),A114)</s:f>
        <s:v>49538.0</s:v>
      </s:c>
      <s:c r="C114" s="62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2" t="n">
        <s:v>111</s:v>
      </s:c>
      <s:c r="B115" s="63">
        <s:f>EDATE(DATE(2026,6,17),A115)</s:f>
        <s:v>49569.0</s:v>
      </s:c>
      <s:c r="C115" s="62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2" t="n">
        <s:v>112</s:v>
      </s:c>
      <s:c r="B116" s="63">
        <s:f>EDATE(DATE(2026,6,17),A116)</s:f>
        <s:v>49599.0</s:v>
      </s:c>
      <s:c r="C116" s="62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2" t="n">
        <s:v>113</s:v>
      </s:c>
      <s:c r="B117" s="63">
        <s:f>EDATE(DATE(2026,6,17),A117)</s:f>
        <s:v>49630.0</s:v>
      </s:c>
      <s:c r="C117" s="62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2" t="n">
        <s:v>114</s:v>
      </s:c>
      <s:c r="B118" s="63">
        <s:f>EDATE(DATE(2026,6,17),A118)</s:f>
        <s:v>49660.0</s:v>
      </s:c>
      <s:c r="C118" s="62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2" t="n">
        <s:v>115</s:v>
      </s:c>
      <s:c r="B119" s="63">
        <s:f>EDATE(DATE(2026,6,17),A119)</s:f>
        <s:v>49691.0</s:v>
      </s:c>
      <s:c r="C119" s="62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2" t="n">
        <s:v>116</s:v>
      </s:c>
      <s:c r="B120" s="63">
        <s:f>EDATE(DATE(2026,6,17),A120)</s:f>
        <s:v>49722.0</s:v>
      </s:c>
      <s:c r="C120" s="62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2" t="n">
        <s:v>117</s:v>
      </s:c>
      <s:c r="B121" s="63">
        <s:f>EDATE(DATE(2026,6,17),A121)</s:f>
        <s:v>49751.0</s:v>
      </s:c>
      <s:c r="C121" s="62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2" t="n">
        <s:v>118</s:v>
      </s:c>
      <s:c r="B122" s="63">
        <s:f>EDATE(DATE(2026,6,17),A122)</s:f>
        <s:v>49782.0</s:v>
      </s:c>
      <s:c r="C122" s="62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2" t="n">
        <s:v>119</s:v>
      </s:c>
      <s:c r="B123" s="63">
        <s:f>EDATE(DATE(2026,6,17),A123)</s:f>
        <s:v>49812.0</s:v>
      </s:c>
      <s:c r="C123" s="62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2" t="n">
        <s:v>120</s:v>
      </s:c>
      <s:c r="B124" s="63">
        <s:f>EDATE(DATE(2026,6,17),A124)</s:f>
        <s:v>49843.0</s:v>
      </s:c>
      <s:c r="C124" s="62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60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4" t="inlineStr">
        <s:is>
          <s:t>ზამთრის მოსავლის რეალიზაცია / Winter crop sold (%)</s:t>
        </s:is>
      </s:c>
      <s:c r="B7" s="61" t="n">
        <s:v>0.2</s:v>
      </s:c>
      <s:c r="C7" s="61" t="n">
        <s:v>0.25</s:v>
      </s:c>
      <s:c r="D7" s="61" t="n">
        <s:v>0.25</s:v>
      </s:c>
      <s:c r="E7" s="61" t="n">
        <s:v>0.15</s:v>
      </s:c>
      <s:c r="F7" s="61" t="n">
        <s:v>0</s:v>
      </s:c>
      <s:c r="G7" s="61" t="n">
        <s:v>0</s:v>
      </s:c>
      <s:c r="H7" s="61" t="n">
        <s:v>0</s:v>
      </s:c>
      <s:c r="I7" s="61" t="n">
        <s:v>0</s:v>
      </s:c>
      <s:c r="J7" s="61" t="n">
        <s:v>0</s:v>
      </s:c>
      <s:c r="K7" s="61" t="n">
        <s:v>0</s:v>
      </s:c>
      <s:c r="L7" s="61" t="n">
        <s:v>0</s:v>
      </s:c>
      <s:c r="M7" s="61" t="n">
        <s:v>0.15</s:v>
      </s:c>
      <s:c r="N7" s="19">
        <s:f>SUM(B7:M7)</s:f>
        <s:v>1.0</s:v>
      </s:c>
    </s:row>
    <s:row r="8">
      <s:c r="A8" s="64" t="inlineStr">
        <s:is>
          <s:t>ზაფხულის მოსავლის რეალიზაცია / Summer crop sold (%)</s:t>
        </s:is>
      </s:c>
      <s:c r="B8" s="61" t="n">
        <s:v>0</s:v>
      </s:c>
      <s:c r="C8" s="61" t="n">
        <s:v>0</s:v>
      </s:c>
      <s:c r="D8" s="61" t="n">
        <s:v>0</s:v>
      </s:c>
      <s:c r="E8" s="61" t="n">
        <s:v>0</s:v>
      </s:c>
      <s:c r="F8" s="61" t="n">
        <s:v>0</s:v>
      </s:c>
      <s:c r="G8" s="61" t="n">
        <s:v>0.2</s:v>
      </s:c>
      <s:c r="H8" s="61" t="n">
        <s:v>0.3</s:v>
      </s:c>
      <s:c r="I8" s="61" t="n">
        <s:v>0.3</s:v>
      </s:c>
      <s:c r="J8" s="61" t="n">
        <s:v>0.2</s:v>
      </s:c>
      <s:c r="K8" s="61" t="n">
        <s:v>0</s:v>
      </s:c>
      <s:c r="L8" s="61" t="n">
        <s:v>0</s:v>
      </s:c>
      <s:c r="M8" s="61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9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5" t="inlineStr">
        <s:is>
          <s:t>ხელფასები / Labour &amp; wages</s:t>
        </s:is>
      </s:c>
      <s:c r="B22" s="50">
        <s:f>OPEX!B19</s:f>
        <s:v>4320.0</s:v>
      </s:c>
      <s:c r="C22" s="50">
        <s:f>OPEX!C19</s:f>
        <s:v>4320.0</s:v>
      </s:c>
      <s:c r="D22" s="50">
        <s:f>OPEX!D19</s:f>
        <s:v>4320.0</s:v>
      </s:c>
      <s:c r="E22" s="50">
        <s:f>OPEX!E19</s:f>
        <s:v>3840.0</s:v>
      </s:c>
      <s:c r="F22" s="50">
        <s:f>OPEX!F19</s:f>
        <s:v>3360.0000000000005</s:v>
      </s:c>
      <s:c r="G22" s="50">
        <s:f>OPEX!G19</s:f>
        <s:v>4320.0</s:v>
      </s:c>
      <s:c r="H22" s="50">
        <s:f>OPEX!H19</s:f>
        <s:v>4320.0</s:v>
      </s:c>
      <s:c r="I22" s="50">
        <s:f>OPEX!I19</s:f>
        <s:v>4320.0</s:v>
      </s:c>
      <s:c r="J22" s="50">
        <s:f>OPEX!J19</s:f>
        <s:v>3840.0</s:v>
      </s:c>
      <s:c r="K22" s="50">
        <s:f>OPEX!K19</s:f>
        <s:v>3360.0000000000005</s:v>
      </s:c>
      <s:c r="L22" s="50">
        <s:f>OPEX!L19</s:f>
        <s:v>3360.0000000000005</s:v>
      </s:c>
      <s:c r="M22" s="50">
        <s:f>OPEX!M19</s:f>
        <s:v>4320.0</s:v>
      </s:c>
      <s:c r="N22" s="18">
        <s:f>SUM(B22:M22)</s:f>
        <s:v>48000.0</s:v>
      </s:c>
    </s:row>
    <s:row r="23">
      <s:c r="A23" s="65" t="inlineStr">
        <s:is>
          <s:t>გათბობა (გაზი/საწვავი) / Heating (gas &amp; fuel)</s:t>
        </s:is>
      </s:c>
      <s:c r="B23" s="50">
        <s:f>OPEX!B20</s:f>
        <s:v>9000.0</s:v>
      </s:c>
      <s:c r="C23" s="50">
        <s:f>OPEX!C20</s:f>
        <s:v>7920.0</s:v>
      </s:c>
      <s:c r="D23" s="50">
        <s:f>OPEX!D20</s:f>
        <s:v>4680.0</s:v>
      </s:c>
      <s:c r="E23" s="50">
        <s:f>OPEX!E20</s:f>
        <s:v>1080.0</s:v>
      </s:c>
      <s:c r="F23" s="50">
        <s:f>OPEX!F20</s:f>
        <s:v>0.0</s:v>
      </s:c>
      <s:c r="G23" s="50">
        <s:f>OPEX!G20</s:f>
        <s:v>0.0</s:v>
      </s:c>
      <s:c r="H23" s="50">
        <s:f>OPEX!H20</s:f>
        <s:v>0.0</s:v>
      </s:c>
      <s:c r="I23" s="50">
        <s:f>OPEX!I20</s:f>
        <s:v>0.0</s:v>
      </s:c>
      <s:c r="J23" s="50">
        <s:f>OPEX!J20</s:f>
        <s:v>0.0</s:v>
      </s:c>
      <s:c r="K23" s="50">
        <s:f>OPEX!K20</s:f>
        <s:v>1440.0</s:v>
      </s:c>
      <s:c r="L23" s="50">
        <s:f>OPEX!L20</s:f>
        <s:v>4680.0</s:v>
      </s:c>
      <s:c r="M23" s="50">
        <s:f>OPEX!M20</s:f>
        <s:v>7200.0</s:v>
      </s:c>
      <s:c r="N23" s="18">
        <s:f>SUM(B23:M23)</s:f>
        <s:v>36000.0</s:v>
      </s:c>
    </s:row>
    <s:row r="24">
      <s:c r="A24" s="65" t="inlineStr">
        <s:is>
          <s:t>ელექტროენერგია და წყალი / Electricity &amp; water</s:t>
        </s:is>
      </s:c>
      <s:c r="B24" s="50">
        <s:f>OPEX!B21</s:f>
        <s:v>960.0</s:v>
      </s:c>
      <s:c r="C24" s="50">
        <s:f>OPEX!C21</s:f>
        <s:v>960.0</s:v>
      </s:c>
      <s:c r="D24" s="50">
        <s:f>OPEX!D21</s:f>
        <s:v>960.0</s:v>
      </s:c>
      <s:c r="E24" s="50">
        <s:f>OPEX!E21</s:f>
        <s:v>960.0</s:v>
      </s:c>
      <s:c r="F24" s="50">
        <s:f>OPEX!F21</s:f>
        <s:v>1080.0</s:v>
      </s:c>
      <s:c r="G24" s="50">
        <s:f>OPEX!G21</s:f>
        <s:v>1200.0</s:v>
      </s:c>
      <s:c r="H24" s="50">
        <s:f>OPEX!H21</s:f>
        <s:v>1320.0</s:v>
      </s:c>
      <s:c r="I24" s="50">
        <s:f>OPEX!I21</s:f>
        <s:v>1320.0</s:v>
      </s:c>
      <s:c r="J24" s="50">
        <s:f>OPEX!J21</s:f>
        <s:v>1080.0</s:v>
      </s:c>
      <s:c r="K24" s="50">
        <s:f>OPEX!K21</s:f>
        <s:v>720.0</s:v>
      </s:c>
      <s:c r="L24" s="50">
        <s:f>OPEX!L21</s:f>
        <s:v>720.0</s:v>
      </s:c>
      <s:c r="M24" s="50">
        <s:f>OPEX!M21</s:f>
        <s:v>720.0</s:v>
      </s:c>
      <s:c r="N24" s="18">
        <s:f>SUM(B24:M24)</s:f>
        <s:v>12000.0</s:v>
      </s:c>
    </s:row>
    <s:row r="25">
      <s:c r="A25" s="65" t="inlineStr">
        <s:is>
          <s:t>ნერგები და თესლი / Seedlings &amp; seeds</s:t>
        </s:is>
      </s:c>
      <s:c r="B25" s="50">
        <s:f>OPEX!B22</s:f>
        <s:v>0.0</s:v>
      </s:c>
      <s:c r="C25" s="50">
        <s:f>OPEX!C22</s:f>
        <s:v>0.0</s:v>
      </s:c>
      <s:c r="D25" s="50">
        <s:f>OPEX!D22</s:f>
        <s:v>2800.0</s:v>
      </s:c>
      <s:c r="E25" s="50">
        <s:f>OPEX!E22</s:f>
        <s:v>3500.0</s:v>
      </s:c>
      <s:c r="F25" s="50">
        <s:f>OPEX!F22</s:f>
        <s:v>0.0</s:v>
      </s:c>
      <s:c r="G25" s="50">
        <s:f>OPEX!G22</s:f>
        <s:v>0.0</s:v>
      </s:c>
      <s:c r="H25" s="50">
        <s:f>OPEX!H22</s:f>
        <s:v>0.0</s:v>
      </s:c>
      <s:c r="I25" s="50">
        <s:f>OPEX!I22</s:f>
        <s:v>4200.0</s:v>
      </s:c>
      <s:c r="J25" s="50">
        <s:f>OPEX!J22</s:f>
        <s:v>3500.0</s:v>
      </s:c>
      <s:c r="K25" s="50">
        <s:f>OPEX!K22</s:f>
        <s:v>0.0</s:v>
      </s:c>
      <s:c r="L25" s="50">
        <s:f>OPEX!L22</s:f>
        <s:v>0.0</s:v>
      </s:c>
      <s:c r="M25" s="50">
        <s:f>OPEX!M22</s:f>
        <s:v>0.0</s:v>
      </s:c>
      <s:c r="N25" s="18">
        <s:f>SUM(B25:M25)</s:f>
        <s:v>14000.0</s:v>
      </s:c>
    </s:row>
    <s:row r="26">
      <s:c r="A26" s="65" t="inlineStr">
        <s:is>
          <s:t>სასუქი და მცენარეთა დაცვა / Fertiliser &amp; crop protection</s:t>
        </s:is>
      </s:c>
      <s:c r="B26" s="50">
        <s:f>OPEX!B23</s:f>
        <s:v>1440.0</s:v>
      </s:c>
      <s:c r="C26" s="50">
        <s:f>OPEX!C23</s:f>
        <s:v>1800.0</s:v>
      </s:c>
      <s:c r="D26" s="50">
        <s:f>OPEX!D23</s:f>
        <s:v>2160.0</s:v>
      </s:c>
      <s:c r="E26" s="50">
        <s:f>OPEX!E23</s:f>
        <s:v>1800.0</s:v>
      </s:c>
      <s:c r="F26" s="50">
        <s:f>OPEX!F23</s:f>
        <s:v>1440.0</s:v>
      </s:c>
      <s:c r="G26" s="50">
        <s:f>OPEX!G23</s:f>
        <s:v>1440.0</s:v>
      </s:c>
      <s:c r="H26" s="50">
        <s:f>OPEX!H23</s:f>
        <s:v>1440.0</s:v>
      </s:c>
      <s:c r="I26" s="50">
        <s:f>OPEX!I23</s:f>
        <s:v>1440.0</s:v>
      </s:c>
      <s:c r="J26" s="50">
        <s:f>OPEX!J23</s:f>
        <s:v>1800.0</s:v>
      </s:c>
      <s:c r="K26" s="50">
        <s:f>OPEX!K23</s:f>
        <s:v>1800.0</s:v>
      </s:c>
      <s:c r="L26" s="50">
        <s:f>OPEX!L23</s:f>
        <s:v>720.0</s:v>
      </s:c>
      <s:c r="M26" s="50">
        <s:f>OPEX!M23</s:f>
        <s:v>720.0</s:v>
      </s:c>
      <s:c r="N26" s="18">
        <s:f>SUM(B26:M26)</s:f>
        <s:v>18000.0</s:v>
      </s:c>
    </s:row>
    <s:row r="27">
      <s:c r="A27" s="65" t="inlineStr">
        <s:is>
          <s:t>შეფუთვა და ლოგისტიკა / Packaging &amp; logistics</s:t>
        </s:is>
      </s:c>
      <s:c r="B27" s="50">
        <s:f>OPEX!B24</s:f>
        <s:v>1200.0</s:v>
      </s:c>
      <s:c r="C27" s="50">
        <s:f>OPEX!C24</s:f>
        <s:v>1400.0000000000002</s:v>
      </s:c>
      <s:c r="D27" s="50">
        <s:f>OPEX!D24</s:f>
        <s:v>1400.0000000000002</s:v>
      </s:c>
      <s:c r="E27" s="50">
        <s:f>OPEX!E24</s:f>
        <s:v>800.0</s:v>
      </s:c>
      <s:c r="F27" s="50">
        <s:f>OPEX!F24</s:f>
        <s:v>0.0</s:v>
      </s:c>
      <s:c r="G27" s="50">
        <s:f>OPEX!G24</s:f>
        <s:v>700.0000000000001</s:v>
      </s:c>
      <s:c r="H27" s="50">
        <s:f>OPEX!H24</s:f>
        <s:v>1100.0</s:v>
      </s:c>
      <s:c r="I27" s="50">
        <s:f>OPEX!I24</s:f>
        <s:v>1100.0</s:v>
      </s:c>
      <s:c r="J27" s="50">
        <s:f>OPEX!J24</s:f>
        <s:v>700.0000000000001</s:v>
      </s:c>
      <s:c r="K27" s="50">
        <s:f>OPEX!K24</s:f>
        <s:v>0.0</s:v>
      </s:c>
      <s:c r="L27" s="50">
        <s:f>OPEX!L24</s:f>
        <s:v>0.0</s:v>
      </s:c>
      <s:c r="M27" s="50">
        <s:f>OPEX!M24</s:f>
        <s:v>1600.0</s:v>
      </s:c>
      <s:c r="N27" s="18">
        <s:f>SUM(B27:M27)</s:f>
        <s:v>10000.0</s:v>
      </s:c>
    </s:row>
    <s:row r="28">
      <s:c r="A28" s="65" t="inlineStr">
        <s:is>
          <s:t>რემონტი და მოვლა / Maintenance &amp; repairs</s:t>
        </s:is>
      </s:c>
      <s:c r="B28" s="50">
        <s:f>OPEX!B25</s:f>
        <s:v>120.0</s:v>
      </s:c>
      <s:c r="C28" s="50">
        <s:f>OPEX!C25</s:f>
        <s:v>120.0</s:v>
      </s:c>
      <s:c r="D28" s="50">
        <s:f>OPEX!D25</s:f>
        <s:v>120.0</s:v>
      </s:c>
      <s:c r="E28" s="50">
        <s:f>OPEX!E25</s:f>
        <s:v>240.0</s:v>
      </s:c>
      <s:c r="F28" s="50">
        <s:f>OPEX!F25</s:f>
        <s:v>1200.0</s:v>
      </s:c>
      <s:c r="G28" s="50">
        <s:f>OPEX!G25</s:f>
        <s:v>600.0</s:v>
      </s:c>
      <s:c r="H28" s="50">
        <s:f>OPEX!H25</s:f>
        <s:v>120.0</s:v>
      </s:c>
      <s:c r="I28" s="50">
        <s:f>OPEX!I25</s:f>
        <s:v>120.0</s:v>
      </s:c>
      <s:c r="J28" s="50">
        <s:f>OPEX!J25</s:f>
        <s:v>180.0</s:v>
      </s:c>
      <s:c r="K28" s="50">
        <s:f>OPEX!K25</s:f>
        <s:v>1500.0</s:v>
      </s:c>
      <s:c r="L28" s="50">
        <s:f>OPEX!L25</s:f>
        <s:v>1500.0</s:v>
      </s:c>
      <s:c r="M28" s="50">
        <s:f>OPEX!M25</s:f>
        <s:v>180.0</s:v>
      </s:c>
      <s:c r="N28" s="18">
        <s:f>SUM(B28:M28)</s:f>
        <s:v>6000.0</s:v>
      </s:c>
    </s:row>
    <s:row r="29">
      <s:c r="A29" s="65" t="inlineStr">
        <s:is>
          <s:t>ადმინისტრაცია, დაზღვევა, ბუღალტერია / Admin, insurance, accounting</s:t>
        </s:is>
      </s:c>
      <s:c r="B29" s="50">
        <s:f>OPEX!B26</s:f>
        <s:v>480.0</s:v>
      </s:c>
      <s:c r="C29" s="50">
        <s:f>OPEX!C26</s:f>
        <s:v>480.0</s:v>
      </s:c>
      <s:c r="D29" s="50">
        <s:f>OPEX!D26</s:f>
        <s:v>540.0</s:v>
      </s:c>
      <s:c r="E29" s="50">
        <s:f>OPEX!E26</s:f>
        <s:v>480.0</s:v>
      </s:c>
      <s:c r="F29" s="50">
        <s:f>OPEX!F26</s:f>
        <s:v>480.0</s:v>
      </s:c>
      <s:c r="G29" s="50">
        <s:f>OPEX!G26</s:f>
        <s:v>540.0</s:v>
      </s:c>
      <s:c r="H29" s="50">
        <s:f>OPEX!H26</s:f>
        <s:v>480.0</s:v>
      </s:c>
      <s:c r="I29" s="50">
        <s:f>OPEX!I26</s:f>
        <s:v>480.0</s:v>
      </s:c>
      <s:c r="J29" s="50">
        <s:f>OPEX!J26</s:f>
        <s:v>540.0</s:v>
      </s:c>
      <s:c r="K29" s="50">
        <s:f>OPEX!K26</s:f>
        <s:v>480.0</s:v>
      </s:c>
      <s:c r="L29" s="50">
        <s:f>OPEX!L26</s:f>
        <s:v>480.0</s:v>
      </s:c>
      <s:c r="M29" s="50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5" t="inlineStr">
        <s:is>
          <s:t>სესხის პროცენტი, სააგენტოს გამოკლებით / Loan interest, net of agency</s:t>
        </s:is>
      </s:c>
      <s:c r="B34" s="50">
        <s:f>-INDEX(Loan!$G$5:$G$124,(Assumptions!$B$48-1)*12+1)</s:f>
        <s:v>-854.1666666666679</s:v>
      </s:c>
      <s:c r="C34" s="50">
        <s:f>-INDEX(Loan!$G$5:$G$124,(Assumptions!$B$48-1)*12+2)</s:f>
        <s:v>-854.1666666666679</s:v>
      </s:c>
      <s:c r="D34" s="50">
        <s:f>-INDEX(Loan!$G$5:$G$124,(Assumptions!$B$48-1)*12+3)</s:f>
        <s:v>-849.8169228074685</s:v>
      </s:c>
      <s:c r="E34" s="50">
        <s:f>-INDEX(Loan!$G$5:$G$124,(Assumptions!$B$48-1)*12+4)</s:f>
        <s:v>-845.4213616462866</s:v>
      </s:c>
      <s:c r="F34" s="50">
        <s:f>-INDEX(Loan!$G$5:$G$124,(Assumptions!$B$48-1)*12+5)</s:f>
        <s:v>-840.979500574208</s:v>
      </s:c>
      <s:c r="G34" s="50">
        <s:f>-INDEX(Loan!$G$5:$G$124,(Assumptions!$B$48-1)*12+6)</s:f>
        <s:v>-836.4908518988341</s:v>
      </s:c>
      <s:c r="H34" s="50">
        <s:f>-INDEX(Loan!$G$5:$G$124,(Assumptions!$B$48-1)*12+7)</s:f>
        <s:v>-831.9549227907482</s:v>
      </s:c>
      <s:c r="I34" s="50">
        <s:f>-INDEX(Loan!$G$5:$G$124,(Assumptions!$B$48-1)*12+8)</s:f>
        <s:v>-827.371215229391</s:v>
      </s:c>
      <s:c r="J34" s="50">
        <s:f>-INDEX(Loan!$G$5:$G$124,(Assumptions!$B$48-1)*12+9)</s:f>
        <s:v>-822.7392259483859</s:v>
      </s:c>
      <s:c r="K34" s="50">
        <s:f>-INDEX(Loan!$G$5:$G$124,(Assumptions!$B$48-1)*12+10)</s:f>
        <s:v>-818.0584463802879</s:v>
      </s:c>
      <s:c r="L34" s="50">
        <s:f>-INDEX(Loan!$G$5:$G$124,(Assumptions!$B$48-1)*12+11)</s:f>
        <s:v>-813.3283626007396</s:v>
      </s:c>
      <s:c r="M34" s="50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5" t="inlineStr">
        <s:is>
          <s:t>სესხის ძირი / Loan principal repayment</s:t>
        </s:is>
      </s:c>
      <s:c r="B35" s="50">
        <s:f>-INDEX(Loan!$H$5:$H$124,(Assumptions!$B$48-1)*12+1)</s:f>
        <s:v>-0.0</s:v>
      </s:c>
      <s:c r="C35" s="50">
        <s:f>-INDEX(Loan!$H$5:$H$124,(Assumptions!$B$48-1)*12+2)</s:f>
        <s:v>-3182.7394091696015</s:v>
      </s:c>
      <s:c r="D35" s="50">
        <s:f>-INDEX(Loan!$H$5:$H$124,(Assumptions!$B$48-1)*12+3)</s:f>
        <s:v>-3216.2642642795226</s:v>
      </s:c>
      <s:c r="E35" s="50">
        <s:f>-INDEX(Loan!$H$5:$H$124,(Assumptions!$B$48-1)*12+4)</s:f>
        <s:v>-3250.1422478632667</s:v>
      </s:c>
      <s:c r="F35" s="50">
        <s:f>-INDEX(Loan!$H$5:$H$124,(Assumptions!$B$48-1)*12+5)</s:f>
        <s:v>-3284.377079540757</s:v>
      </s:c>
      <s:c r="G35" s="50">
        <s:f>-INDEX(Loan!$H$5:$H$124,(Assumptions!$B$48-1)*12+6)</s:f>
        <s:v>-3318.97251811192</s:v>
      </s:c>
      <s:c r="H35" s="50">
        <s:f>-INDEX(Loan!$H$5:$H$124,(Assumptions!$B$48-1)*12+7)</s:f>
        <s:v>-3353.932361969368</s:v>
      </s:c>
      <s:c r="I35" s="50">
        <s:f>-INDEX(Loan!$H$5:$H$124,(Assumptions!$B$48-1)*12+8)</s:f>
        <s:v>-3389.260449515443</s:v>
      </s:c>
      <s:c r="J35" s="50">
        <s:f>-INDEX(Loan!$H$5:$H$124,(Assumptions!$B$48-1)*12+9)</s:f>
        <s:v>-3424.960659583674</s:v>
      </s:c>
      <s:c r="K35" s="50">
        <s:f>-INDEX(Loan!$H$5:$H$124,(Assumptions!$B$48-1)*12+10)</s:f>
        <s:v>-3461.0369118646204</s:v>
      </s:c>
      <s:c r="L35" s="50">
        <s:f>-INDEX(Loan!$H$5:$H$124,(Assumptions!$B$48-1)*12+11)</s:f>
        <s:v>-3497.49316733626</s:v>
      </s:c>
      <s:c r="M35" s="50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50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6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7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8">
        <s:f>SUM(B7:M7)</s:f>
        <s:v>1.0</s:v>
      </s:c>
      <s:c r="C50" s="68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60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5" t="inlineStr">
        <s:is>
          <s:t>საოპერაციო ხარჯი / Operating expenses</s:t>
        </s:is>
      </s:c>
      <s:c r="B16" s="50">
        <s:f>-CF_Monthly!$N$30</s:f>
        <s:v>-150000.0</s:v>
      </s:c>
      <s:c r="C16" s="50">
        <s:f>B16*(1+Assumptions!$B$41)</s:f>
        <s:v>-156000.0</s:v>
      </s:c>
      <s:c r="D16" s="50">
        <s:f>C16*(1+Assumptions!$B$41)</s:f>
        <s:v>-162240.0</s:v>
      </s:c>
      <s:c r="E16" s="50">
        <s:f>D16*(1+Assumptions!$B$41)</s:f>
        <s:v>-168729.6</s:v>
      </s:c>
      <s:c r="F16" s="50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5" t="inlineStr">
        <s:is>
          <s:t>სესხის პროცენტი, სააგენტოს გამოკლებით / Loan interest, net of agency</s:t>
        </s:is>
      </s:c>
      <s:c r="B21" s="50">
        <s:f>-SUMIF(Loan!$C$5:$C$124,Assumptions!$B$48+0,Loan!$G$5:$G$124)</s:f>
        <s:v>-10377.735785071218</s:v>
      </s:c>
      <s:c r="C21" s="50">
        <s:f>-SUMIF(Loan!$C$5:$C$124,Assumptions!$B$48+1,Loan!$G$5:$G$124)</s:f>
        <s:v>-13644.24326269929</s:v>
      </s:c>
      <s:c r="D21" s="50">
        <s:f>-SUMIF(Loan!$C$5:$C$124,Assumptions!$B$48+2,Loan!$G$5:$G$124)</s:f>
        <s:v>-12519.925437700906</s:v>
      </s:c>
      <s:c r="E21" s="50">
        <s:f>-SUMIF(Loan!$C$5:$C$124,Assumptions!$B$48+3,Loan!$G$5:$G$124)</s:f>
        <s:v>-62730.664248429326</s:v>
      </s:c>
      <s:c r="F21" s="50">
        <s:f>-SUMIF(Loan!$C$5:$C$124,Assumptions!$B$48+4,Loan!$G$5:$G$124)</s:f>
        <s:v>-54536.04985562658</s:v>
      </s:c>
    </s:row>
    <s:row r="22">
      <s:c r="A22" s="65" t="inlineStr">
        <s:is>
          <s:t>სესხის ძირი / Loan principal</s:t>
        </s:is>
      </s:c>
      <s:c r="B22" s="50">
        <s:f>-SUMIF(Loan!$C$5:$C$124,Assumptions!$B$48+0,Loan!$H$5:$H$124)</s:f>
        <s:v>-36790.9947854159</s:v>
      </s:c>
      <s:c r="C22" s="50">
        <s:f>-SUMIF(Loan!$C$5:$C$124,Assumptions!$B$48+1,Loan!$H$5:$H$124)</s:f>
        <s:v>-44038.62038216267</s:v>
      </s:c>
      <s:c r="D22" s="50">
        <s:f>-SUMIF(Loan!$C$5:$C$124,Assumptions!$B$48+2,Loan!$H$5:$H$124)</s:f>
        <s:v>-50316.06157173713</s:v>
      </s:c>
      <s:c r="E22" s="50">
        <s:f>-SUMIF(Loan!$C$5:$C$124,Assumptions!$B$48+3,Loan!$H$5:$H$124)</s:f>
        <s:v>-57488.31435047132</s:v>
      </s:c>
      <s:c r="F22" s="50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5" t="inlineStr">
        <s:is>
          <s:t>ნაშთი წლის ბოლოს / Loan balance, year-end</s:t>
        </s:is>
      </s:c>
      <s:c r="B24" s="50">
        <s:f>INDEX(Loan!$J$5:$J$124,MATCH((Assumptions!$B$48+0)*12,Loan!$A$5:$A$124,0))</s:f>
        <s:v>588209.0052145841</s:v>
      </s:c>
      <s:c r="C24" s="50">
        <s:f>INDEX(Loan!$J$5:$J$124,MATCH((Assumptions!$B$48+1)*12,Loan!$A$5:$A$124,0))</s:f>
        <s:v>544170.3848324217</s:v>
      </s:c>
      <s:c r="D24" s="50">
        <s:f>INDEX(Loan!$J$5:$J$124,MATCH((Assumptions!$B$48+2)*12,Loan!$A$5:$A$124,0))</s:f>
        <s:v>493854.3232606846</s:v>
      </s:c>
      <s:c r="E24" s="50">
        <s:f>INDEX(Loan!$J$5:$J$124,MATCH((Assumptions!$B$48+3)*12,Loan!$A$5:$A$124,0))</s:f>
        <s:v>436366.00891021336</s:v>
      </s:c>
      <s:c r="F24" s="50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5" t="inlineStr">
        <s:is>
          <s:t>საინვესტიციო/საფინანსო / Investing &amp; financing</s:t>
        </s:is>
      </s:c>
      <s:c r="B28" s="50">
        <s:f>CF_Monthly!$N$40+CF_Monthly!$N$41</s:f>
        <s:v>0.0</s:v>
      </s:c>
      <s:c r="C28" s="50">
        <s:f>0</s:f>
        <s:v>0.0</s:v>
      </s:c>
      <s:c r="D28" s="50">
        <s:f>0</s:f>
        <s:v>0.0</s:v>
      </s:c>
      <s:c r="E28" s="50">
        <s:f>0</s:f>
        <s:v>0.0</s:v>
      </s:c>
      <s:c r="F28" s="50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9">
        <s:f>IFERROR(B17/B23,0)</s:f>
        <s:v>9.381214941511837</s:v>
      </s:c>
      <s:c r="C33" s="69">
        <s:f>IFERROR(C17/C23,0)</s:f>
        <s:v>8.086985813880467</s:v>
      </s:c>
      <s:c r="D33" s="69">
        <s:f>IFERROR(D17/D23,0)</s:f>
        <s:v>7.825738668291156</s:v>
      </s:c>
      <s:c r="E33" s="69">
        <s:f>IFERROR(E17/E23,0)</s:f>
        <s:v>4.311629551456862</s:v>
      </s:c>
      <s:c r="F33" s="69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6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70" t="n">
        <s:v>-0.2</s:v>
      </s:c>
      <s:c r="C5" s="70" t="n">
        <s:v>-0.1</s:v>
      </s:c>
      <s:c r="D5" s="70" t="n">
        <s:v>0</s:v>
      </s:c>
      <s:c r="E5" s="70" t="n">
        <s:v>0.1</s:v>
      </s:c>
      <s:c r="F5" s="70" t="n">
        <s:v>0.2</s:v>
      </s:c>
    </s:row>
    <s:row r="6">
      <s:c r="A6" s="70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70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70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70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70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70" t="n">
        <s:v>-0.2</s:v>
      </s:c>
      <s:c r="C13" s="70" t="n">
        <s:v>-0.1</s:v>
      </s:c>
      <s:c r="D13" s="70" t="n">
        <s:v>0</s:v>
      </s:c>
      <s:c r="E13" s="70" t="n">
        <s:v>0.1</s:v>
      </s:c>
      <s:c r="F13" s="70" t="n">
        <s:v>0.2</s:v>
      </s:c>
    </s:row>
    <s:row r="14">
      <s:c r="A14" s="70" t="n">
        <s:v>-0.2</s:v>
      </s:c>
      <s:c r="B14" s="71">
        <s:f>IFERROR(((Assumptions!$B$11*(1+$A14)*Assumptions!$B$13*(1+B$13)+Assumptions!$B$15*(1+$A14)*Assumptions!$B$17*(1+B$13))-CF_Monthly!$N$30)/CF_Monthly!$N$36,0)</s:f>
        <s:v>4.859151332416979</s:v>
      </s:c>
      <s:c r="C14" s="71">
        <s:f>IFERROR(((Assumptions!$B$11*(1+$A14)*Assumptions!$B$13*(1+C$13)+Assumptions!$B$15*(1+$A14)*Assumptions!$B$17*(1+C$13))-CF_Monthly!$N$30)/CF_Monthly!$N$36,0)</s:f>
        <s:v>5.864054356660281</s:v>
      </s:c>
      <s:c r="D14" s="71">
        <s:f>IFERROR(((Assumptions!$B$11*(1+$A14)*Assumptions!$B$13*(1+D$13)+Assumptions!$B$15*(1+$A14)*Assumptions!$B$17*(1+D$13))-CF_Monthly!$N$30)/CF_Monthly!$N$36,0)</s:f>
        <s:v>6.868957380903582</s:v>
      </s:c>
      <s:c r="E14" s="71">
        <s:f>IFERROR(((Assumptions!$B$11*(1+$A14)*Assumptions!$B$13*(1+E$13)+Assumptions!$B$15*(1+$A14)*Assumptions!$B$17*(1+E$13))-CF_Monthly!$N$30)/CF_Monthly!$N$36,0)</s:f>
        <s:v>7.873860405146885</s:v>
      </s:c>
      <s:c r="F14" s="71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70" t="n">
        <s:v>-0.1</s:v>
      </s:c>
      <s:c r="B15" s="71">
        <s:f>IFERROR(((Assumptions!$B$11*(1+$A15)*Assumptions!$B$13*(1+B$13)+Assumptions!$B$15*(1+$A15)*Assumptions!$B$17*(1+B$13))-CF_Monthly!$N$30)/CF_Monthly!$N$36,0)</s:f>
        <s:v>5.864054356660281</s:v>
      </s:c>
      <s:c r="C15" s="71">
        <s:f>IFERROR(((Assumptions!$B$11*(1+$A15)*Assumptions!$B$13*(1+C$13)+Assumptions!$B$15*(1+$A15)*Assumptions!$B$17*(1+C$13))-CF_Monthly!$N$30)/CF_Monthly!$N$36,0)</s:f>
        <s:v>6.9945702589339955</s:v>
      </s:c>
      <s:c r="D15" s="71">
        <s:f>IFERROR(((Assumptions!$B$11*(1+$A15)*Assumptions!$B$13*(1+D$13)+Assumptions!$B$15*(1+$A15)*Assumptions!$B$17*(1+D$13))-CF_Monthly!$N$30)/CF_Monthly!$N$36,0)</s:f>
        <s:v>8.12508616120771</s:v>
      </s:c>
      <s:c r="E15" s="71">
        <s:f>IFERROR(((Assumptions!$B$11*(1+$A15)*Assumptions!$B$13*(1+E$13)+Assumptions!$B$15*(1+$A15)*Assumptions!$B$17*(1+E$13))-CF_Monthly!$N$30)/CF_Monthly!$N$36,0)</s:f>
        <s:v>9.255602063481428</s:v>
      </s:c>
      <s:c r="F15" s="71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70" t="n">
        <s:v>0</s:v>
      </s:c>
      <s:c r="B16" s="71">
        <s:f>IFERROR(((Assumptions!$B$11*(1+$A16)*Assumptions!$B$13*(1+B$13)+Assumptions!$B$15*(1+$A16)*Assumptions!$B$17*(1+B$13))-CF_Monthly!$N$30)/CF_Monthly!$N$36,0)</s:f>
        <s:v>6.868957380903582</s:v>
      </s:c>
      <s:c r="C16" s="71">
        <s:f>IFERROR(((Assumptions!$B$11*(1+$A16)*Assumptions!$B$13*(1+C$13)+Assumptions!$B$15*(1+$A16)*Assumptions!$B$17*(1+C$13))-CF_Monthly!$N$30)/CF_Monthly!$N$36,0)</s:f>
        <s:v>8.12508616120771</s:v>
      </s:c>
      <s:c r="D16" s="71">
        <s:f>IFERROR(((Assumptions!$B$11*(1+$A16)*Assumptions!$B$13*(1+D$13)+Assumptions!$B$15*(1+$A16)*Assumptions!$B$17*(1+D$13))-CF_Monthly!$N$30)/CF_Monthly!$N$36,0)</s:f>
        <s:v>9.381214941511837</s:v>
      </s:c>
      <s:c r="E16" s="71">
        <s:f>IFERROR(((Assumptions!$B$11*(1+$A16)*Assumptions!$B$13*(1+E$13)+Assumptions!$B$15*(1+$A16)*Assumptions!$B$17*(1+E$13))-CF_Monthly!$N$30)/CF_Monthly!$N$36,0)</s:f>
        <s:v>10.637343721815968</s:v>
      </s:c>
      <s:c r="F16" s="71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70" t="n">
        <s:v>0.1</s:v>
      </s:c>
      <s:c r="B17" s="71">
        <s:f>IFERROR(((Assumptions!$B$11*(1+$A17)*Assumptions!$B$13*(1+B$13)+Assumptions!$B$15*(1+$A17)*Assumptions!$B$17*(1+B$13))-CF_Monthly!$N$30)/CF_Monthly!$N$36,0)</s:f>
        <s:v>7.873860405146886</s:v>
      </s:c>
      <s:c r="C17" s="71">
        <s:f>IFERROR(((Assumptions!$B$11*(1+$A17)*Assumptions!$B$13*(1+C$13)+Assumptions!$B$15*(1+$A17)*Assumptions!$B$17*(1+C$13))-CF_Monthly!$N$30)/CF_Monthly!$N$36,0)</s:f>
        <s:v>9.255602063481424</s:v>
      </s:c>
      <s:c r="D17" s="71">
        <s:f>IFERROR(((Assumptions!$B$11*(1+$A17)*Assumptions!$B$13*(1+D$13)+Assumptions!$B$15*(1+$A17)*Assumptions!$B$17*(1+D$13))-CF_Monthly!$N$30)/CF_Monthly!$N$36,0)</s:f>
        <s:v>10.637343721815965</s:v>
      </s:c>
      <s:c r="E17" s="71">
        <s:f>IFERROR(((Assumptions!$B$11*(1+$A17)*Assumptions!$B$13*(1+E$13)+Assumptions!$B$15*(1+$A17)*Assumptions!$B$17*(1+E$13))-CF_Monthly!$N$30)/CF_Monthly!$N$36,0)</s:f>
        <s:v>12.019085380150507</s:v>
      </s:c>
      <s:c r="F17" s="71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70" t="n">
        <s:v>0.2</s:v>
      </s:c>
      <s:c r="B18" s="71">
        <s:f>IFERROR(((Assumptions!$B$11*(1+$A18)*Assumptions!$B$13*(1+B$13)+Assumptions!$B$15*(1+$A18)*Assumptions!$B$17*(1+B$13))-CF_Monthly!$N$30)/CF_Monthly!$N$36,0)</s:f>
        <s:v>8.878763429390187</s:v>
      </s:c>
      <s:c r="C18" s="71">
        <s:f>IFERROR(((Assumptions!$B$11*(1+$A18)*Assumptions!$B$13*(1+C$13)+Assumptions!$B$15*(1+$A18)*Assumptions!$B$17*(1+C$13))-CF_Monthly!$N$30)/CF_Monthly!$N$36,0)</s:f>
        <s:v>10.38611796575514</s:v>
      </s:c>
      <s:c r="D18" s="71">
        <s:f>IFERROR(((Assumptions!$B$11*(1+$A18)*Assumptions!$B$13*(1+D$13)+Assumptions!$B$15*(1+$A18)*Assumptions!$B$17*(1+D$13))-CF_Monthly!$N$30)/CF_Monthly!$N$36,0)</s:f>
        <s:v>11.893472502120092</s:v>
      </s:c>
      <s:c r="E18" s="71">
        <s:f>IFERROR(((Assumptions!$B$11*(1+$A18)*Assumptions!$B$13*(1+E$13)+Assumptions!$B$15*(1+$A18)*Assumptions!$B$17*(1+E$13))-CF_Monthly!$N$30)/CF_Monthly!$N$36,0)</s:f>
        <s:v>13.400827038485046</s:v>
      </s:c>
      <s:c r="F18" s="71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9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9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95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22/09/2026 · 30 საბანკო + 21 საწვავი / 30 bank + 21 fuel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2" t="n">
        <s:v>46204</s:v>
      </s:c>
      <s:c r="B13" s="64" t="inlineStr">
        <s:is>
          <s:t>ინვოისი</s:t>
        </s:is>
      </s:c>
      <s:c r="C13" s="64" t="inlineStr">
        <s:is>
          <s:t>შპს ტერმინალ ვესტ თრეიდინგ</s:t>
        </s:is>
      </s:c>
      <s:c r="D13" s="64" t="inlineStr">
        <s:is>
          <s:t>მომწოდებლის ინვოისი / Supplier invoice</s:t>
        </s:is>
      </s:c>
      <s:c r="E13" s="73" t="n">
        <s:v>-1409.41</s:v>
      </s:c>
    </s:row>
    <s:row r="14">
      <s:c r="A14" s="72" t="n">
        <s:v>46204</s:v>
      </s:c>
      <s:c r="B14" s="64" t="inlineStr">
        <s:is>
          <s:t>მომსახურების ანაზღაურება</s:t>
        </s:is>
      </s:c>
      <s:c r="C14" s="64" t="inlineStr">
        <s:is>
          <s:t>ნუგზარი ბუნტური</s:t>
        </s:is>
      </s:c>
      <s:c r="D14" s="64" t="inlineStr">
        <s:is>
          <s:t>მომსახურება / Services</s:t>
        </s:is>
      </s:c>
      <s:c r="E14" s="73" t="n">
        <s:v>-500</s:v>
      </s:c>
    </s:row>
    <s:row r="15">
      <s:c r="A15" s="72" t="n">
        <s:v>46204</s:v>
      </s:c>
      <s:c r="B15" s="64" t="inlineStr">
        <s:is>
          <s:t>ხელფასი</s:t>
        </s:is>
      </s:c>
      <s:c r="C15" s="64" t="inlineStr">
        <s:is>
          <s:t>ნატალია ქანანელი</s:t>
        </s:is>
      </s:c>
      <s:c r="D15" s="64" t="inlineStr">
        <s:is>
          <s:t>ხელფასი / Salaries</s:t>
        </s:is>
      </s:c>
      <s:c r="E15" s="73" t="n">
        <s:v>-1000</s:v>
      </s:c>
    </s:row>
    <s:row r="16">
      <s:c r="A16" s="72" t="n">
        <s:v>46204</s:v>
      </s:c>
      <s:c r="B16" s="64" t="inlineStr">
        <s:is>
          <s:t>თანახმად ხელშეკრულებისა; მომსახურება</s:t>
        </s:is>
      </s:c>
      <s:c r="C16" s="64" t="inlineStr">
        <s:is>
          <s:t>გიორგი მღებრიშვილი</s:t>
        </s:is>
      </s:c>
      <s:c r="D16" s="64" t="inlineStr">
        <s:is>
          <s:t>მომსახურება / Services</s:t>
        </s:is>
      </s:c>
      <s:c r="E16" s="73" t="n">
        <s:v>-1600</s:v>
      </s:c>
    </s:row>
    <s:row r="17">
      <s:c r="A17" s="72" t="n">
        <s:v>46212</s:v>
      </s:c>
      <s:c r="B17" s="64" t="inlineStr">
        <s:is>
          <s:t>ავანსი თანახმად ხელშეკრულება N1 7/6/2026 (22 000 აშშ დოლარი, ერ.კ. 2.6384)</s:t>
        </s:is>
      </s:c>
      <s:c r="C17" s="64" t="inlineStr">
        <s:is>
          <s:t>შპს ჯიესენ გრუპ</s:t>
        </s:is>
      </s:c>
      <s:c r="D17" s="64" t="inlineStr">
        <s:is>
          <s:t>მშენებლობის ავანსი / Construction advance</s:t>
        </s:is>
      </s:c>
      <s:c r="E17" s="73" t="n">
        <s:v>-58044.8</s:v>
      </s:c>
    </s:row>
    <s:row r="18">
      <s:c r="A18" s="72" t="n">
        <s:v>46216</s:v>
      </s:c>
      <s:c r="B18" s="64" t="inlineStr">
        <s:is>
          <s:t>ელექტრო მასალების შეძენა; ლითონის სამონტაჟო მასალები</s:t>
        </s:is>
      </s:c>
      <s:c r="C18" s="64" t="inlineStr">
        <s:is>
          <s:t>ი.მ. შოთა კერესელიძე</s:t>
        </s:is>
      </s:c>
      <s:c r="D18" s="64" t="inlineStr">
        <s:is>
          <s:t>მასალები / Materials</s:t>
        </s:is>
      </s:c>
      <s:c r="E18" s="73" t="n">
        <s:v>-4660</s:v>
      </s:c>
    </s:row>
    <s:row r="19">
      <s:c r="A19" s="72" t="n">
        <s:v>46219</s:v>
      </s:c>
      <s:c r="B19" s="64" t="inlineStr">
        <s:is>
          <s:t>ინვოისი 154-729 27/06/2026</s:t>
        </s:is>
      </s:c>
      <s:c r="C19" s="64" t="inlineStr">
        <s:is>
          <s:t>შპს ენ ბი სი ჯგუფი</s:t>
        </s:is>
      </s:c>
      <s:c r="D19" s="64" t="inlineStr">
        <s:is>
          <s:t>მომწოდებლის ინვოისი / Supplier invoice</s:t>
        </s:is>
      </s:c>
      <s:c r="E19" s="73" t="n">
        <s:v>-1450</s:v>
      </s:c>
    </s:row>
    <s:row r="20">
      <s:c r="A20" s="72" t="n">
        <s:v>46238</s:v>
      </s:c>
      <s:c r="B20" s="64" t="inlineStr">
        <s:is>
          <s:t>ავანსი თანახმად ხელშეკრულება N1 7/6/2026 (5 000 აშშ დოლარი)</s:t>
        </s:is>
      </s:c>
      <s:c r="C20" s="64" t="inlineStr">
        <s:is>
          <s:t>შპს ჯიესენ გრუპ</s:t>
        </s:is>
      </s:c>
      <s:c r="D20" s="64" t="inlineStr">
        <s:is>
          <s:t>მშენებლობის ავანსი / Construction advance</s:t>
        </s:is>
      </s:c>
      <s:c r="E20" s="73" t="n">
        <s:v>-13100</s:v>
      </s:c>
    </s:row>
    <s:row r="21">
      <s:c r="A21" s="72" t="n">
        <s:v>46238</s:v>
      </s:c>
      <s:c r="B21" s="64" t="inlineStr">
        <s:is>
          <s:t>ხელფასი</s:t>
        </s:is>
      </s:c>
      <s:c r="C21" s="64" t="inlineStr">
        <s:is>
          <s:t>გოდერძი მეტრეველი</s:t>
        </s:is>
      </s:c>
      <s:c r="D21" s="64" t="inlineStr">
        <s:is>
          <s:t>ხელფასი / Salaries</s:t>
        </s:is>
      </s:c>
      <s:c r="E21" s="73" t="n">
        <s:v>-2000</s:v>
      </s:c>
    </s:row>
    <s:row r="22">
      <s:c r="A22" s="72" t="n">
        <s:v>46244</s:v>
      </s:c>
      <s:c r="B22" s="64" t="inlineStr">
        <s:is>
          <s:t>საქვეანგარიშოდ საჯარო რეესტრში გაწეული ხარჯისათვის</s:t>
        </s:is>
      </s:c>
      <s:c r="C22" s="64" t="inlineStr">
        <s:is>
          <s:t>გოდერძი მეტრეველი</s:t>
        </s:is>
      </s:c>
      <s:c r="D22" s="64" t="inlineStr">
        <s:is>
          <s:t>სხვა / Other</s:t>
        </s:is>
      </s:c>
      <s:c r="E22" s="73" t="n">
        <s:v>-307</s:v>
      </s:c>
    </s:row>
    <s:row r="23">
      <s:c r="A23" s="72" t="n">
        <s:v>46244</s:v>
      </s:c>
      <s:c r="B23" s="64" t="inlineStr">
        <s:is>
          <s:t>საპენსიო გადასახადი</s:t>
        </s:is>
      </s:c>
      <s:c r="C23" s="64" t="inlineStr">
        <s:is>
          <s:t>სსიპ საქართველოს საპენსიო ფონდი</s:t>
        </s:is>
      </s:c>
      <s:c r="D23" s="64" t="inlineStr">
        <s:is>
          <s:t>გადასახადები / Taxes &amp; pension</s:t>
        </s:is>
      </s:c>
      <s:c r="E23" s="73" t="n">
        <s:v>-170</s:v>
      </s:c>
    </s:row>
    <s:row r="24">
      <s:c r="A24" s="72" t="n">
        <s:v>46260</s:v>
      </s:c>
      <s:c r="B24" s="64" t="inlineStr">
        <s:is>
          <s:t>გადასახადების ერთიანი კოდი</s:t>
        </s:is>
      </s:c>
      <s:c r="C24" s="64" t="inlineStr">
        <s:is>
          <s:t>ხაზინის ერთიანი ანგარიში (RS)</s:t>
        </s:is>
      </s:c>
      <s:c r="D24" s="64" t="inlineStr">
        <s:is>
          <s:t>გადასახადები / Taxes &amp; pension</s:t>
        </s:is>
      </s:c>
      <s:c r="E24" s="73" t="n">
        <s:v>-900</s:v>
      </s:c>
    </s:row>
    <s:row r="25">
      <s:c r="A25" s="72" t="n">
        <s:v>46260</s:v>
      </s:c>
      <s:c r="B25" s="64" t="inlineStr">
        <s:is>
          <s:t>ხელფასი</s:t>
        </s:is>
      </s:c>
      <s:c r="C25" s="64" t="inlineStr">
        <s:is>
          <s:t>ნატალია ქანანელი</s:t>
        </s:is>
      </s:c>
      <s:c r="D25" s="64" t="inlineStr">
        <s:is>
          <s:t>ხელფასი / Salaries</s:t>
        </s:is>
      </s:c>
      <s:c r="E25" s="73" t="n">
        <s:v>-2000</s:v>
      </s:c>
    </s:row>
    <s:row r="26">
      <s:c r="A26" s="72" t="n">
        <s:v>46265</s:v>
      </s:c>
      <s:c r="B26" s="64" t="inlineStr">
        <s:is>
          <s:t>ხელფასი</s:t>
        </s:is>
      </s:c>
      <s:c r="C26" s="64" t="inlineStr">
        <s:is>
          <s:t>გოდერძი მეტრეველი</s:t>
        </s:is>
      </s:c>
      <s:c r="D26" s="64" t="inlineStr">
        <s:is>
          <s:t>ხელფასი / Salaries</s:t>
        </s:is>
      </s:c>
      <s:c r="E26" s="73" t="n">
        <s:v>-3000</s:v>
      </s:c>
    </s:row>
    <s:row r="27">
      <s:c r="A27" s="72" t="n">
        <s:v>46273</s:v>
      </s:c>
      <s:c r="B27" s="64" t="inlineStr">
        <s:is>
          <s:t>საპენსიო გადასახადი</s:t>
        </s:is>
      </s:c>
      <s:c r="C27" s="64" t="inlineStr">
        <s:is>
          <s:t>სსიპ საქართველოს საპენსიო ფონდი</s:t>
        </s:is>
      </s:c>
      <s:c r="D27" s="64" t="inlineStr">
        <s:is>
          <s:t>გადასახადები / Taxes &amp; pension</s:t>
        </s:is>
      </s:c>
      <s:c r="E27" s="73" t="n">
        <s:v>-400</s:v>
      </s:c>
    </s:row>
    <s:row r="28">
      <s:c r="A28" s="72" t="n">
        <s:v>46279</s:v>
      </s:c>
      <s:c r="B28" s="64" t="inlineStr">
        <s:is>
          <s:t>ავანსი თანახმად ხელშეკრულება (ხელშ. N1)</s:t>
        </s:is>
      </s:c>
      <s:c r="C28" s="64" t="inlineStr">
        <s:is>
          <s:t>შპს ჯიესენ გრუპ</s:t>
        </s:is>
      </s:c>
      <s:c r="D28" s="64" t="inlineStr">
        <s:is>
          <s:t>მშენებლობის ავანსი / Construction advance</s:t>
        </s:is>
      </s:c>
      <s:c r="E28" s="73" t="n">
        <s:v>-1500</s:v>
      </s:c>
    </s:row>
    <s:row r="29">
      <s:c r="A29" s="72" t="n">
        <s:v>46279</s:v>
      </s:c>
      <s:c r="B29" s="64" t="inlineStr">
        <s:is>
          <s:t>ავანსი თანახმად ხელშეკრულება (ხელშ. N1)</s:t>
        </s:is>
      </s:c>
      <s:c r="C29" s="64" t="inlineStr">
        <s:is>
          <s:t>შპს ჯიესენ გრუპ</s:t>
        </s:is>
      </s:c>
      <s:c r="D29" s="64" t="inlineStr">
        <s:is>
          <s:t>მშენებლობის ავანსი / Construction advance</s:t>
        </s:is>
      </s:c>
      <s:c r="E29" s="73" t="n">
        <s:v>-1400</s:v>
      </s:c>
    </s:row>
    <s:row r="30">
      <s:c r="A30" s="72" t="n">
        <s:v>46279</s:v>
      </s:c>
      <s:c r="B30" s="64" t="inlineStr">
        <s:is>
          <s:t>ხელფასი</s:t>
        </s:is>
      </s:c>
      <s:c r="C30" s="64" t="inlineStr">
        <s:is>
          <s:t>გოდერძი მეტრეველი</s:t>
        </s:is>
      </s:c>
      <s:c r="D30" s="64" t="inlineStr">
        <s:is>
          <s:t>ხელფასი / Salaries</s:t>
        </s:is>
      </s:c>
      <s:c r="E30" s="73" t="n">
        <s:v>-2000</s:v>
      </s:c>
    </s:row>
    <s:row r="31">
      <s:c r="A31" s="72" t="n">
        <s:v>46279</s:v>
      </s:c>
      <s:c r="B31" s="64" t="inlineStr">
        <s:is>
          <s:t>ინვოისი 12866 14/09/2026</s:t>
        </s:is>
      </s:c>
      <s:c r="C31" s="64" t="inlineStr">
        <s:is>
          <s:t>შპს კლუგერი 1</s:t>
        </s:is>
      </s:c>
      <s:c r="D31" s="64" t="inlineStr">
        <s:is>
          <s:t>მომწოდებლის ინვოისი / Supplier invoice</s:t>
        </s:is>
      </s:c>
      <s:c r="E31" s="73" t="n">
        <s:v>-1616</s:v>
      </s:c>
    </s:row>
    <s:row r="32">
      <s:c r="A32" s="72" t="n">
        <s:v>46279</s:v>
      </s:c>
      <s:c r="B32" s="64" t="inlineStr">
        <s:is>
          <s:t>მომსახურება</s:t>
        </s:is>
      </s:c>
      <s:c r="C32" s="64" t="inlineStr">
        <s:is>
          <s:t>ვაჟა ბოდაველი</s:t>
        </s:is>
      </s:c>
      <s:c r="D32" s="64" t="inlineStr">
        <s:is>
          <s:t>მომსახურება / Services</s:t>
        </s:is>
      </s:c>
      <s:c r="E32" s="73" t="n">
        <s:v>-150</s:v>
      </s:c>
    </s:row>
    <s:row r="33">
      <s:c r="A33" s="72" t="n">
        <s:v>46279</s:v>
      </s:c>
      <s:c r="B33" s="64" t="inlineStr">
        <s:is>
          <s:t>სესხის ერთჯერადი მომსახურების საკომისიო GA/1-876787-001</s:t>
        </s:is>
      </s:c>
      <s:c r="C33" s="64" t="inlineStr">
        <s:is>
          <s:t>სს ბანკი ქართუ</s:t>
        </s:is>
      </s:c>
      <s:c r="D33" s="64" t="inlineStr">
        <s:is>
          <s:t>სხვა / Other</s:t>
        </s:is>
      </s:c>
      <s:c r="E33" s="73" t="n">
        <s:v>-60</s:v>
      </s:c>
    </s:row>
    <s:row r="34">
      <s:c r="A34" s="72" t="n">
        <s:v>46281</s:v>
      </s:c>
      <s:c r="B34" s="64" t="inlineStr">
        <s:is>
          <s:t>ინვოისი 20260916A 16/09/2026</s:t>
        </s:is>
      </s:c>
      <s:c r="C34" s="64" t="inlineStr">
        <s:is>
          <s:t>შპს იბოსთარ</s:t>
        </s:is>
      </s:c>
      <s:c r="D34" s="64" t="inlineStr">
        <s:is>
          <s:t>მომწოდებლის ინვოისი / Supplier invoice</s:t>
        </s:is>
      </s:c>
      <s:c r="E34" s="73" t="n">
        <s:v>-3030</s:v>
      </s:c>
    </s:row>
    <s:row r="35">
      <s:c r="A35" s="72" t="n">
        <s:v>46281</s:v>
      </s:c>
      <s:c r="B35" s="64" t="inlineStr">
        <s:is>
          <s:t>სასაქონლო ზედნადებებით პროდუქციის საფასური</s:t>
        </s:is>
      </s:c>
      <s:c r="C35" s="64" t="inlineStr">
        <s:is>
          <s:t>ი.მ. ლალი ზეიკიძე</s:t>
        </s:is>
      </s:c>
      <s:c r="D35" s="64" t="inlineStr">
        <s:is>
          <s:t>მასალები / Materials</s:t>
        </s:is>
      </s:c>
      <s:c r="E35" s="73" t="n">
        <s:v>-467.7</s:v>
      </s:c>
    </s:row>
    <s:row r="36">
      <s:c r="A36" s="72" t="n">
        <s:v>46281</s:v>
      </s:c>
      <s:c r="B36" s="64" t="inlineStr">
        <s:is>
          <s:t>ცემენტის ღირებულება</s:t>
        </s:is>
      </s:c>
      <s:c r="C36" s="64" t="inlineStr">
        <s:is>
          <s:t>სოსო ხლუსიძე</s:t>
        </s:is>
      </s:c>
      <s:c r="D36" s="64" t="inlineStr">
        <s:is>
          <s:t>მასალები / Materials</s:t>
        </s:is>
      </s:c>
      <s:c r="E36" s="73" t="n">
        <s:v>-170</s:v>
      </s:c>
    </s:row>
    <s:row r="37">
      <s:c r="A37" s="72" t="n">
        <s:v>46283</s:v>
      </s:c>
      <s:c r="B37" s="64" t="inlineStr">
        <s:is>
          <s:t>ცემენტის ღირებულება, ზედნადები 1008422939 18/09/2026</s:t>
        </s:is>
      </s:c>
      <s:c r="C37" s="64" t="inlineStr">
        <s:is>
          <s:t>სოსო ხლუსიძე</s:t>
        </s:is>
      </s:c>
      <s:c r="D37" s="64" t="inlineStr">
        <s:is>
          <s:t>მასალები / Materials</s:t>
        </s:is>
      </s:c>
      <s:c r="E37" s="73" t="n">
        <s:v>-425</s:v>
      </s:c>
    </s:row>
    <s:row r="38">
      <s:c r="A38" s="72" t="n">
        <s:v>46283</s:v>
      </s:c>
      <s:c r="B38" s="64" t="inlineStr">
        <s:is>
          <s:t>მომსახურება</s:t>
        </s:is>
      </s:c>
      <s:c r="C38" s="64" t="inlineStr">
        <s:is>
          <s:t>რაუფ ბაირამოვი</s:t>
        </s:is>
      </s:c>
      <s:c r="D38" s="64" t="inlineStr">
        <s:is>
          <s:t>მომსახურება / Services</s:t>
        </s:is>
      </s:c>
      <s:c r="E38" s="73" t="n">
        <s:v>-820</s:v>
      </s:c>
    </s:row>
    <s:row r="39">
      <s:c r="A39" s="72" t="n">
        <s:v>46283</s:v>
      </s:c>
      <s:c r="B39" s="64" t="inlineStr">
        <s:is>
          <s:t>ამწე მომსახურება — სამონტაჟო სამუშაო, კაპიტალიზებული</s:t>
        </s:is>
      </s:c>
      <s:c r="C39" s="64" t="inlineStr">
        <s:is>
          <s:t>აკაკი ბუჩაშვილი</s:t>
        </s:is>
      </s:c>
      <s:c r="D39" s="64" t="inlineStr">
        <s:is>
          <s:t>სხვა / Other</s:t>
        </s:is>
      </s:c>
      <s:c r="E39" s="73" t="n">
        <s:v>-550</s:v>
      </s:c>
    </s:row>
    <s:row r="40">
      <s:c r="A40" s="72" t="n">
        <s:v>46283</s:v>
      </s:c>
      <s:c r="B40" s="64" t="inlineStr">
        <s:is>
          <s:t>საბანკო საკომისიოები — 11 გადარიცხვა, 11–18/09/2026</s:t>
        </s:is>
      </s:c>
      <s:c r="C40" s="64" t="inlineStr">
        <s:is>
          <s:t>სს ბანკი ქართუ</s:t>
        </s:is>
      </s:c>
      <s:c r="D40" s="64" t="inlineStr">
        <s:is>
          <s:t>სხვა / Other</s:t>
        </s:is>
      </s:c>
      <s:c r="E40" s="73" t="n">
        <s:v>-12.08</s:v>
      </s:c>
    </s:row>
    <s:row r="41">
      <s:c r="A41" s="72" t="n">
        <s:v>46284</s:v>
      </s:c>
      <s:c r="B41" s="64" t="inlineStr">
        <s:is>
          <s:t>ავანსი ხელშეკრულება N1 (40 000 აშშ დოლარი, ერ.კ. 2.6125)</s:t>
        </s:is>
      </s:c>
      <s:c r="C41" s="64" t="inlineStr">
        <s:is>
          <s:t>შპს ჯიესენ გრუპ</s:t>
        </s:is>
      </s:c>
      <s:c r="D41" s="64" t="inlineStr">
        <s:is>
          <s:t>მშენებლობის ავანსი / Construction advance</s:t>
        </s:is>
      </s:c>
      <s:c r="E41" s="73" t="n">
        <s:v>-104500</s:v>
      </s:c>
    </s:row>
    <s:row r="42">
      <s:c r="A42" s="72" t="n">
        <s:v>46286</s:v>
      </s:c>
      <s:c r="B42" s="64" t="inlineStr">
        <s:is>
          <s:t>მუშების კვება — საქვეანგარიშოდ დირექტორზე</s:t>
        </s:is>
      </s:c>
      <s:c r="C42" s="64" t="inlineStr">
        <s:is>
          <s:t>გოდერძი მეტრეველი</s:t>
        </s:is>
      </s:c>
      <s:c r="D42" s="64" t="inlineStr">
        <s:is>
          <s:t>მუშების კვება / Worker meals</s:t>
        </s:is>
      </s:c>
      <s:c r="E42" s="73" t="n">
        <s:v>-10000</s:v>
      </s:c>
    </s:row>
    <s:row r="43">
      <s:c r="A43" s="72" t="n">
        <s:v>46205</s:v>
      </s:c>
      <s:c r="B43" s="64" t="inlineStr">
        <s:is>
          <s:t>საწვავი G-Force Premium 27.62 ლ — SANAPIRO</s:t>
        </s:is>
      </s:c>
      <s:c r="C43" s="64" t="inlineStr">
        <s:is>
          <s:t>Gulf</s:t>
        </s:is>
      </s:c>
      <s:c r="D43" s="64" t="inlineStr">
        <s:is>
          <s:t>საწვავი / Fuel</s:t>
        </s:is>
      </s:c>
      <s:c r="E43" s="73" t="n">
        <s:v>-100</s:v>
      </s:c>
    </s:row>
    <s:row r="44">
      <s:c r="A44" s="72" t="n">
        <s:v>46208</s:v>
      </s:c>
      <s:c r="B44" s="64" t="inlineStr">
        <s:is>
          <s:t>საწვავი G-Force Premium 29.67 ლ — COSMONAVTI EXPRESS</s:t>
        </s:is>
      </s:c>
      <s:c r="C44" s="64" t="inlineStr">
        <s:is>
          <s:t>Gulf</s:t>
        </s:is>
      </s:c>
      <s:c r="D44" s="64" t="inlineStr">
        <s:is>
          <s:t>საწვავი / Fuel</s:t>
        </s:is>
      </s:c>
      <s:c r="E44" s="73" t="n">
        <s:v>-100</s:v>
      </s:c>
    </s:row>
    <s:row r="45">
      <s:c r="A45" s="72" t="n">
        <s:v>46212</s:v>
      </s:c>
      <s:c r="B45" s="64" t="inlineStr">
        <s:is>
          <s:t>საწვავი G-Force Premium 65 ლ — COSMONAVTI EXPRESS</s:t>
        </s:is>
      </s:c>
      <s:c r="C45" s="64" t="inlineStr">
        <s:is>
          <s:t>Gulf</s:t>
        </s:is>
      </s:c>
      <s:c r="D45" s="64" t="inlineStr">
        <s:is>
          <s:t>საწვავი / Fuel</s:t>
        </s:is>
      </s:c>
      <s:c r="E45" s="73" t="n">
        <s:v>-222.3</s:v>
      </s:c>
    </s:row>
    <s:row r="46">
      <s:c r="A46" s="72" t="n">
        <s:v>46220</s:v>
      </s:c>
      <s:c r="B46" s="64" t="inlineStr">
        <s:is>
          <s:t>საწვავი G-Force Premium 50 ლ — COSMONAVTI EXPRESS</s:t>
        </s:is>
      </s:c>
      <s:c r="C46" s="64" t="inlineStr">
        <s:is>
          <s:t>Gulf</s:t>
        </s:is>
      </s:c>
      <s:c r="D46" s="64" t="inlineStr">
        <s:is>
          <s:t>საწვავი / Fuel</s:t>
        </s:is>
      </s:c>
      <s:c r="E46" s="73" t="n">
        <s:v>-171</s:v>
      </s:c>
    </s:row>
    <s:row r="47">
      <s:c r="A47" s="72" t="n">
        <s:v>46222</s:v>
      </s:c>
      <s:c r="B47" s="64" t="inlineStr">
        <s:is>
          <s:t>საწვავი Euro Diesel 11.55 ლ — SAGAREJO</s:t>
        </s:is>
      </s:c>
      <s:c r="C47" s="64" t="inlineStr">
        <s:is>
          <s:t>Gulf</s:t>
        </s:is>
      </s:c>
      <s:c r="D47" s="64" t="inlineStr">
        <s:is>
          <s:t>საწვავი / Fuel</s:t>
        </s:is>
      </s:c>
      <s:c r="E47" s="73" t="n">
        <s:v>-44.12</s:v>
      </s:c>
    </s:row>
    <s:row r="48">
      <s:c r="A48" s="72" t="n">
        <s:v>46225</s:v>
      </s:c>
      <s:c r="B48" s="64" t="inlineStr">
        <s:is>
          <s:t>საწვავი G-Force Premium 65 ლ — COSMONAVTI EXPRESS</s:t>
        </s:is>
      </s:c>
      <s:c r="C48" s="64" t="inlineStr">
        <s:is>
          <s:t>Gulf</s:t>
        </s:is>
      </s:c>
      <s:c r="D48" s="64" t="inlineStr">
        <s:is>
          <s:t>საწვავი / Fuel</s:t>
        </s:is>
      </s:c>
      <s:c r="E48" s="73" t="n">
        <s:v>-219.05</s:v>
      </s:c>
    </s:row>
    <s:row r="49">
      <s:c r="A49" s="72" t="n">
        <s:v>46229</s:v>
      </s:c>
      <s:c r="B49" s="64" t="inlineStr">
        <s:is>
          <s:t>საწვავი G-Force Premium 30 ლ — COSMONAVTI EXPRESS</s:t>
        </s:is>
      </s:c>
      <s:c r="C49" s="64" t="inlineStr">
        <s:is>
          <s:t>Gulf</s:t>
        </s:is>
      </s:c>
      <s:c r="D49" s="64" t="inlineStr">
        <s:is>
          <s:t>საწვავი / Fuel</s:t>
        </s:is>
      </s:c>
      <s:c r="E49" s="73" t="n">
        <s:v>-103.5</s:v>
      </s:c>
    </s:row>
    <s:row r="50">
      <s:c r="A50" s="72" t="n">
        <s:v>46232</s:v>
      </s:c>
      <s:c r="B50" s="64" t="inlineStr">
        <s:is>
          <s:t>საწვავი G-Force Premium 50 ლ — COSMONAVTI EXPRESS</s:t>
        </s:is>
      </s:c>
      <s:c r="C50" s="64" t="inlineStr">
        <s:is>
          <s:t>Gulf</s:t>
        </s:is>
      </s:c>
      <s:c r="D50" s="64" t="inlineStr">
        <s:is>
          <s:t>საწვავი / Fuel</s:t>
        </s:is>
      </s:c>
      <s:c r="E50" s="73" t="n">
        <s:v>-172.5</s:v>
      </s:c>
    </s:row>
    <s:row r="51">
      <s:c r="A51" s="72" t="n">
        <s:v>46238</s:v>
      </s:c>
      <s:c r="B51" s="64" t="inlineStr">
        <s:is>
          <s:t>საწვავი G-Force Premium 50 ლ — COSMONAVTI EXPRESS</s:t>
        </s:is>
      </s:c>
      <s:c r="C51" s="64" t="inlineStr">
        <s:is>
          <s:t>Gulf</s:t>
        </s:is>
      </s:c>
      <s:c r="D51" s="64" t="inlineStr">
        <s:is>
          <s:t>საწვავი / Fuel</s:t>
        </s:is>
      </s:c>
      <s:c r="E51" s="73" t="n">
        <s:v>-175</s:v>
      </s:c>
    </s:row>
    <s:row r="52">
      <s:c r="A52" s="72" t="n">
        <s:v>46240</s:v>
      </s:c>
      <s:c r="B52" s="64" t="inlineStr">
        <s:is>
          <s:t>საწვავი G-Force Premium 60 ლ — BIO</s:t>
        </s:is>
      </s:c>
      <s:c r="C52" s="64" t="inlineStr">
        <s:is>
          <s:t>Gulf</s:t>
        </s:is>
      </s:c>
      <s:c r="D52" s="64" t="inlineStr">
        <s:is>
          <s:t>საწვავი / Fuel</s:t>
        </s:is>
      </s:c>
      <s:c r="E52" s="73" t="n">
        <s:v>-210</s:v>
      </s:c>
    </s:row>
    <s:row r="53">
      <s:c r="A53" s="72" t="n">
        <s:v>46241</s:v>
      </s:c>
      <s:c r="B53" s="64" t="inlineStr">
        <s:is>
          <s:t>საწვავი Euro Diesel 11 ლ — COSMONAVTI EXPRESS</s:t>
        </s:is>
      </s:c>
      <s:c r="C53" s="64" t="inlineStr">
        <s:is>
          <s:t>Gulf</s:t>
        </s:is>
      </s:c>
      <s:c r="D53" s="64" t="inlineStr">
        <s:is>
          <s:t>საწვავი / Fuel</s:t>
        </s:is>
      </s:c>
      <s:c r="E53" s="73" t="n">
        <s:v>-42.9</s:v>
      </s:c>
    </s:row>
    <s:row r="54">
      <s:c r="A54" s="72" t="n">
        <s:v>46243</s:v>
      </s:c>
      <s:c r="B54" s="64" t="inlineStr">
        <s:is>
          <s:t>საწვავი G-Force Premium 28.99 ლ — BIO</s:t>
        </s:is>
      </s:c>
      <s:c r="C54" s="64" t="inlineStr">
        <s:is>
          <s:t>Gulf</s:t>
        </s:is>
      </s:c>
      <s:c r="D54" s="64" t="inlineStr">
        <s:is>
          <s:t>საწვავი / Fuel</s:t>
        </s:is>
      </s:c>
      <s:c r="E54" s="73" t="n">
        <s:v>-100</s:v>
      </s:c>
    </s:row>
    <s:row r="55">
      <s:c r="A55" s="72" t="n">
        <s:v>46254</s:v>
      </s:c>
      <s:c r="B55" s="64" t="inlineStr">
        <s:is>
          <s:t>საწვავი G-Force Premium 10 ლ — COSMONAVTI EXPRESS</s:t>
        </s:is>
      </s:c>
      <s:c r="C55" s="64" t="inlineStr">
        <s:is>
          <s:t>Gulf</s:t>
        </s:is>
      </s:c>
      <s:c r="D55" s="64" t="inlineStr">
        <s:is>
          <s:t>საწვავი / Fuel</s:t>
        </s:is>
      </s:c>
      <s:c r="E55" s="73" t="n">
        <s:v>-35.6</s:v>
      </s:c>
    </s:row>
    <s:row r="56">
      <s:c r="A56" s="72" t="n">
        <s:v>46268</s:v>
      </s:c>
      <s:c r="B56" s="64" t="inlineStr">
        <s:is>
          <s:t>საწვავი G-Force Premium 10 ლ — COSMONAVTI EXPRESS</s:t>
        </s:is>
      </s:c>
      <s:c r="C56" s="64" t="inlineStr">
        <s:is>
          <s:t>Gulf</s:t>
        </s:is>
      </s:c>
      <s:c r="D56" s="64" t="inlineStr">
        <s:is>
          <s:t>საწვავი / Fuel</s:t>
        </s:is>
      </s:c>
      <s:c r="E56" s="73" t="n">
        <s:v>-36.6</s:v>
      </s:c>
    </s:row>
    <s:row r="57">
      <s:c r="A57" s="72" t="n">
        <s:v>46268</s:v>
      </s:c>
      <s:c r="B57" s="64" t="inlineStr">
        <s:is>
          <s:t>საწვავი G-Force Premium 40 ლ — COSMONAVTI EXPRESS</s:t>
        </s:is>
      </s:c>
      <s:c r="C57" s="64" t="inlineStr">
        <s:is>
          <s:t>Gulf</s:t>
        </s:is>
      </s:c>
      <s:c r="D57" s="64" t="inlineStr">
        <s:is>
          <s:t>საწვავი / Fuel</s:t>
        </s:is>
      </s:c>
      <s:c r="E57" s="73" t="n">
        <s:v>-146.4</s:v>
      </s:c>
    </s:row>
    <s:row r="58">
      <s:c r="A58" s="72" t="n">
        <s:v>46273</s:v>
      </s:c>
      <s:c r="B58" s="64" t="inlineStr">
        <s:is>
          <s:t>საწვავი G-Force Premium 21.38 ლ — LILO</s:t>
        </s:is>
      </s:c>
      <s:c r="C58" s="64" t="inlineStr">
        <s:is>
          <s:t>Gulf</s:t>
        </s:is>
      </s:c>
      <s:c r="D58" s="64" t="inlineStr">
        <s:is>
          <s:t>საწვავი / Fuel</s:t>
        </s:is>
      </s:c>
      <s:c r="E58" s="73" t="n">
        <s:v>-81.03</s:v>
      </s:c>
    </s:row>
    <s:row r="59">
      <s:c r="A59" s="72" t="n">
        <s:v>46274</s:v>
      </s:c>
      <s:c r="B59" s="64" t="inlineStr">
        <s:is>
          <s:t>საწვავი G-Force Premium 60 ლ — ZESTAPHONI</s:t>
        </s:is>
      </s:c>
      <s:c r="C59" s="64" t="inlineStr">
        <s:is>
          <s:t>Gulf</s:t>
        </s:is>
      </s:c>
      <s:c r="D59" s="64" t="inlineStr">
        <s:is>
          <s:t>საწვავი / Fuel</s:t>
        </s:is>
      </s:c>
      <s:c r="E59" s="73" t="n">
        <s:v>-224.4</s:v>
      </s:c>
    </s:row>
    <s:row r="60">
      <s:c r="A60" s="72" t="n">
        <s:v>46276</s:v>
      </s:c>
      <s:c r="B60" s="64" t="inlineStr">
        <s:is>
          <s:t>საწვავი G-Force Premium 50 ლ — PIKRIS GORA</s:t>
        </s:is>
      </s:c>
      <s:c r="C60" s="64" t="inlineStr">
        <s:is>
          <s:t>Gulf</s:t>
        </s:is>
      </s:c>
      <s:c r="D60" s="64" t="inlineStr">
        <s:is>
          <s:t>საწვავი / Fuel</s:t>
        </s:is>
      </s:c>
      <s:c r="E60" s="73" t="n">
        <s:v>-192.5</s:v>
      </s:c>
    </s:row>
    <s:row r="61">
      <s:c r="A61" s="72" t="n">
        <s:v>46279</s:v>
      </s:c>
      <s:c r="B61" s="64" t="inlineStr">
        <s:is>
          <s:t>საწვავი G-Force Premium 65 ლ — TSEROVANI</s:t>
        </s:is>
      </s:c>
      <s:c r="C61" s="64" t="inlineStr">
        <s:is>
          <s:t>Gulf</s:t>
        </s:is>
      </s:c>
      <s:c r="D61" s="64" t="inlineStr">
        <s:is>
          <s:t>საწვავი / Fuel</s:t>
        </s:is>
      </s:c>
      <s:c r="E61" s="73" t="n">
        <s:v>-250.25</s:v>
      </s:c>
    </s:row>
    <s:row r="62">
      <s:c r="A62" s="72" t="n">
        <s:v>46282</s:v>
      </s:c>
      <s:c r="B62" s="64" t="inlineStr">
        <s:is>
          <s:t>საწვავი G-Force Premium 50 ლ — NAREKVAVI</s:t>
        </s:is>
      </s:c>
      <s:c r="C62" s="64" t="inlineStr">
        <s:is>
          <s:t>Gulf</s:t>
        </s:is>
      </s:c>
      <s:c r="D62" s="64" t="inlineStr">
        <s:is>
          <s:t>საწვავი / Fuel</s:t>
        </s:is>
      </s:c>
      <s:c r="E62" s="73" t="n">
        <s:v>-192.5</s:v>
      </s:c>
    </s:row>
    <s:row r="63">
      <s:c r="A63" s="72" t="n">
        <s:v>46287</s:v>
      </s:c>
      <s:c r="B63" s="64" t="inlineStr">
        <s:is>
          <s:t>საწვავი</s:t>
        </s:is>
      </s:c>
      <s:c r="C63" s="64" t="inlineStr">
        <s:is>
          <s:t>Gulf</s:t>
        </s:is>
      </s:c>
      <s:c r="D63" s="64" t="inlineStr">
        <s:is>
          <s:t>საწვავი / Fuel</s:t>
        </s:is>
      </s:c>
      <s:c r="E63" s="73" t="n">
        <s:v>-200</s:v>
      </s:c>
    </s:row>
    <s:row r="64">
      <s:c r="A64" s="21" t="inlineStr">
        <s:is>
          <s:t>სულ / TOTAL</s:t>
        </s:is>
      </s:c>
      <s:c r="B64" s="24" t="inlineStr"/>
      <s:c r="C64" s="24" t="inlineStr"/>
      <s:c r="D64" s="24" t="inlineStr"/>
      <s:c r="E64" s="30">
        <s:f>SUM(E13:E63)</s:f>
        <s:v>-220261.63999999998</s:v>
      </s:c>
    </s:row>
    <s:row r="66">
      <s:c r="A66" s="10" t="inlineStr">
        <s:is>
          <s:t>კატეგორიების მიხედვით / BY CATEGORY</s:t>
        </s:is>
      </s:c>
      <s:c r="B66" s="11" t="n"/>
      <s:c r="C66" s="11" t="n"/>
      <s:c r="D66" s="11" t="n"/>
      <s:c r="E66" s="11" t="n"/>
    </s:row>
    <s:row r="67">
      <s:c r="A67" s="60" t="inlineStr">
        <s:is>
          <s:t>კატეგორია / Category</s:t>
        </s:is>
      </s:c>
      <s:c r="B67" s="12" t="inlineStr">
        <s:is>
          <s:t>თანხა GEL / Amount</s:t>
        </s:is>
      </s:c>
      <s:c r="C67" s="12" t="inlineStr">
        <s:is>
          <s:t>% ჯამიდან / of total</s:t>
        </s:is>
      </s:c>
    </s:row>
    <s:row r="68">
      <s:c r="A68" s="20" t="inlineStr">
        <s:is>
          <s:t>მშენებლობის ავანსი / Construction advance</s:t>
        </s:is>
      </s:c>
      <s:c r="B68" s="31">
        <s:f>-SUMIF($D$13:$D$63,$A68,$E$13:$E$63)</s:f>
        <s:v>178544.8</s:v>
      </s:c>
      <s:c r="C68" s="26">
        <s:f>IFERROR($B68/$B$77,0)</s:f>
        <s:v>0.8106032443960737</s:v>
      </s:c>
    </s:row>
    <s:row r="69">
      <s:c r="A69" s="20" t="inlineStr">
        <s:is>
          <s:t>ხელფასი / Salaries</s:t>
        </s:is>
      </s:c>
      <s:c r="B69" s="31">
        <s:f>-SUMIF($D$13:$D$63,$A69,$E$13:$E$63)</s:f>
        <s:v>10000.0</s:v>
      </s:c>
      <s:c r="C69" s="26">
        <s:f>IFERROR($B69/$B$77,0)</s:f>
        <s:v>0.045400551816467</s:v>
      </s:c>
    </s:row>
    <s:row r="70">
      <s:c r="A70" s="20" t="inlineStr">
        <s:is>
          <s:t>გადასახადები / Taxes &amp; pension</s:t>
        </s:is>
      </s:c>
      <s:c r="B70" s="31">
        <s:f>-SUMIF($D$13:$D$63,$A70,$E$13:$E$63)</s:f>
        <s:v>1470.0</s:v>
      </s:c>
      <s:c r="C70" s="26">
        <s:f>IFERROR($B70/$B$77,0)</s:f>
        <s:v>0.006673881117020649</s:v>
      </s:c>
    </s:row>
    <s:row r="71">
      <s:c r="A71" s="20" t="inlineStr">
        <s:is>
          <s:t>მომსახურება / Services</s:t>
        </s:is>
      </s:c>
      <s:c r="B71" s="31">
        <s:f>-SUMIF($D$13:$D$63,$A71,$E$13:$E$63)</s:f>
        <s:v>3070.0</s:v>
      </s:c>
      <s:c r="C71" s="26">
        <s:f>IFERROR($B71/$B$77,0)</s:f>
        <s:v>0.01393796940765537</s:v>
      </s:c>
    </s:row>
    <s:row r="72">
      <s:c r="A72" s="20" t="inlineStr">
        <s:is>
          <s:t>საწვავი / Fuel</s:t>
        </s:is>
      </s:c>
      <s:c r="B72" s="31">
        <s:f>-SUMIF($D$13:$D$63,$A72,$E$13:$E$63)</s:f>
        <s:v>3019.65</s:v>
      </s:c>
      <s:c r="C72" s="26">
        <s:f>IFERROR($B72/$B$77,0)</s:f>
        <s:v>0.013709377629259459</s:v>
      </s:c>
    </s:row>
    <s:row r="73">
      <s:c r="A73" s="20" t="inlineStr">
        <s:is>
          <s:t>მუშების კვება / Worker meals</s:t>
        </s:is>
      </s:c>
      <s:c r="B73" s="31">
        <s:f>-SUMIF($D$13:$D$63,$A73,$E$13:$E$63)</s:f>
        <s:v>10000.0</s:v>
      </s:c>
      <s:c r="C73" s="26">
        <s:f>IFERROR($B73/$B$77,0)</s:f>
        <s:v>0.045400551816467</s:v>
      </s:c>
    </s:row>
    <s:row r="74">
      <s:c r="A74" s="20" t="inlineStr">
        <s:is>
          <s:t>მასალები / Materials</s:t>
        </s:is>
      </s:c>
      <s:c r="B74" s="31">
        <s:f>-SUMIF($D$13:$D$63,$A74,$E$13:$E$63)</s:f>
        <s:v>5722.7</s:v>
      </s:c>
      <s:c r="C74" s="26">
        <s:f>IFERROR($B74/$B$77,0)</s:f>
        <s:v>0.02598137378800957</s:v>
      </s:c>
    </s:row>
    <s:row r="75">
      <s:c r="A75" s="20" t="inlineStr">
        <s:is>
          <s:t>მომწოდებლის ინვოისი / Supplier invoice</s:t>
        </s:is>
      </s:c>
      <s:c r="B75" s="31">
        <s:f>-SUMIF($D$13:$D$63,$A75,$E$13:$E$63)</s:f>
        <s:v>7505.41</s:v>
      </s:c>
      <s:c r="C75" s="26">
        <s:f>IFERROR($B75/$B$77,0)</s:f>
        <s:v>0.03407497556088296</s:v>
      </s:c>
    </s:row>
    <s:row r="76">
      <s:c r="A76" s="20" t="inlineStr">
        <s:is>
          <s:t>სხვა / Other</s:t>
        </s:is>
      </s:c>
      <s:c r="B76" s="31">
        <s:f>-SUMIF($D$13:$D$63,$A76,$E$13:$E$63)</s:f>
        <s:v>929.08</s:v>
      </s:c>
      <s:c r="C76" s="26">
        <s:f>IFERROR($B76/$B$77,0)</s:f>
        <s:v>0.004218074468164316</s:v>
      </s:c>
    </s:row>
    <s:row r="77">
      <s:c r="A77" s="21" t="inlineStr">
        <s:is>
          <s:t>სულ / TOTAL</s:t>
        </s:is>
      </s:c>
      <s:c r="B77" s="30">
        <s:f>SUM(B68:B76)</s:f>
        <s:v>220261.63999999998</s:v>
      </s:c>
      <s:c r="C77" s="23">
        <s:f>IFERROR(B77/B77,0)</s:f>
        <s:v>1.0</s:v>
      </s:c>
    </s:row>
    <s:row r="78">
      <s:c r="A78" s="3" t="inlineStr">
        <s:is>
          <s:t>შემოწმება / Check vs statement total (must be 0)</s:t>
        </s:is>
      </s:c>
      <s:c r="B78" s="74">
        <s:f>B77+E64</s:f>
        <s:v>0.0</s:v>
      </s:c>
    </s:row>
    <s:row r="80">
      <s:c r="A80" s="10" t="inlineStr">
        <s:is>
          <s:t>თვეების მიხედვით / BY MONTH</s:t>
        </s:is>
      </s:c>
      <s:c r="B80" s="11" t="n"/>
      <s:c r="C80" s="11" t="n"/>
      <s:c r="D80" s="11" t="n"/>
      <s:c r="E80" s="11" t="n"/>
    </s:row>
    <s:row r="81">
      <s:c r="A81" s="60" t="inlineStr">
        <s:is>
          <s:t>თვე / Month</s:t>
        </s:is>
      </s:c>
      <s:c r="B81" s="12" t="inlineStr">
        <s:is>
          <s:t>თანხა GEL / Amount</s:t>
        </s:is>
      </s:c>
    </s:row>
    <s:row r="82">
      <s:c r="A82" s="20" t="inlineStr">
        <s:is>
          <s:t>ივლისი 2026 / July</s:t>
        </s:is>
      </s:c>
      <s:c r="B82" s="31">
        <s:f>-SUMPRODUCT(($A$13:$A$63&gt;=DATE(2026,7,1))*($A$13:$A$63&lt;=DATE(2026,7,31))*$E$13:$E$63)</s:f>
        <s:v>69796.68000000001</s:v>
      </s:c>
    </s:row>
    <s:row r="83">
      <s:c r="A83" s="20" t="inlineStr">
        <s:is>
          <s:t>აგვისტო 2026 / August</s:t>
        </s:is>
      </s:c>
      <s:c r="B83" s="31">
        <s:f>-SUMPRODUCT(($A$13:$A$63&gt;=DATE(2026,8,1))*($A$13:$A$63&lt;=DATE(2026,8,31))*$E$13:$E$63)</s:f>
        <s:v>22040.5</s:v>
      </s:c>
    </s:row>
    <s:row r="84">
      <s:c r="A84" s="20" t="inlineStr">
        <s:is>
          <s:t>სექტემბერი 2026 (21-მდე) / September (to the 21st)</s:t>
        </s:is>
      </s:c>
      <s:c r="B84" s="31">
        <s:f>-SUMPRODUCT(($A$13:$A$63&gt;=DATE(2026,9,1))*($A$13:$A$63&lt;=DATE(2026,9,30))*$E$13:$E$63)</s:f>
        <s:v>128424.45999999999</s:v>
      </s:c>
    </s:row>
    <s:row r="85">
      <s:c r="A85" s="21" t="inlineStr">
        <s:is>
          <s:t>სულ / TOTAL</s:t>
        </s:is>
      </s:c>
      <s:c r="B85" s="30">
        <s:f>SUM(B82:B84)</s:f>
        <s:v>220261.64</s:v>
      </s:c>
    </s:row>
    <s:row r="87">
      <s:c r="A87" s="10" t="inlineStr">
        <s:is>
          <s:t>ძირითადი ფაქტები / KEY FACTS</s:t>
        </s:is>
      </s:c>
      <s:c r="B87" s="11" t="n"/>
      <s:c r="C87" s="11" t="n"/>
      <s:c r="D87" s="11" t="n"/>
      <s:c r="E87" s="11" t="n"/>
    </s:row>
    <s:row r="88">
      <s:c r="A88" s="17" t="inlineStr">
        <s:is>
          <s:t>გაცვლითი კურსი 09/07/2026 (22,000 USD) / FX rate on the 09/07/2026 transfer</s:t>
        </s:is>
      </s:c>
      <s:c r="B88" s="75">
        <s:f>-E17/22000</s:f>
        <s:v>2.6384000000000003</s:v>
      </s:c>
      <s:c r="C88" s="43" t="inlineStr">
        <s:is>
          <s:t>დანიშნულებაში მითითებული კურსი 2.6384 / the description states 2.6384</s:t>
        </s:is>
      </s:c>
    </s:row>
    <s:row r="89">
      <s:c r="A89" s="17" t="inlineStr">
        <s:is>
          <s:t>გაცვლითი კურსი 04/08/2026 (5,000 USD) / FX rate on the 04/08/2026 transfer</s:t>
        </s:is>
      </s:c>
      <s:c r="B89" s="75">
        <s:f>-E20/5000</s:f>
        <s:v>2.62</s:v>
      </s:c>
      <s:c r="C89" s="43" t="inlineStr">
        <s:is>
          <s:t>დანიშნულებაში კურსი არ არის მითითებული / no rate stated in the description</s:t>
        </s:is>
      </s:c>
    </s:row>
    <s:row r="90">
      <s:c r="A90" s="17" t="inlineStr">
        <s:is>
          <s:t>მშენებლობის ავანსები / Construction advances paid (USD)</s:t>
        </s:is>
      </s:c>
      <s:c r="B90" s="34">
        <s:f>22000+5000</s:f>
        <s:v>27000.0</s:v>
      </s:c>
      <s:c r="C90" s="43" t="inlineStr">
        <s:is>
          <s:t>ხელშეკრულება N1, 7/6/2026, შპს ჯიესენ გრუპ / contract N1 of 7/6/2026 with LLC GSN Group</s:t>
        </s:is>
      </s:c>
    </s:row>
    <s:row r="91">
      <s:c r="A91" s="17" t="inlineStr">
        <s:is>
          <s:t>მშენებლობის ავანსები / Construction advances paid (GEL)</s:t>
        </s:is>
      </s:c>
      <s:c r="B91" s="76">
        <s:f>B68</s:f>
        <s:v>178544.8</s:v>
      </s:c>
      <s:c r="C91" s="43" t="inlineStr">
        <s:is>
          <s:t>ორივე გადარიცხვის ჯამი / the two transfers above</s:t>
        </s:is>
      </s:c>
    </s:row>
    <s:row r="92">
      <s:c r="A92" s="17" t="inlineStr">
        <s:is>
          <s:t>სულ გადახდილი / Total paid out (GEL)</s:t>
        </s:is>
      </s:c>
      <s:c r="B92" s="39">
        <s:f>-E64</s:f>
        <s:v>220261.63999999998</s:v>
      </s:c>
      <s:c r="C92" s="43" t="inlineStr">
        <s:is>
          <s:t>01/07–08/09/2026</s:t>
        </s:is>
      </s:c>
    </s:row>
    <s:row r="93">
      <s:c r="A93" s="17" t="inlineStr">
        <s:is>
          <s:t>შემოსავალი ამონაწერში / Inflows in the statement (GEL)</s:t>
        </s:is>
      </s:c>
      <s:c r="B93" s="39">
        <s:f>0</s:f>
        <s:v>0.0</s:v>
      </s:c>
      <s:c r="C93" s="43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95">
      <s:c r="A95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2026-09-22T08:06:19Z</dcterms:created>
  <dcterms:modified xsi:type="dcterms:W3CDTF">2026-09-22T08:06:20Z</dcterms:modified>
</cp:coreProperties>
</file>